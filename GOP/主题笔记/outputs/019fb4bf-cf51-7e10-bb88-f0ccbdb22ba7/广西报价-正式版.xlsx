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cd0f009c36446cc" /></Relationships>
</file>

<file path=xl/workbook.xml><?xml version="1.0" encoding="utf-8"?>
<x:workbook xmlns:x="http://schemas.openxmlformats.org/spreadsheetml/2006/main">
  <x:sheets>
    <x:sheet xmlns:r="http://schemas.openxmlformats.org/officeDocument/2006/relationships" name="报价总览" sheetId="1" r:id="Rc8ca05b09fe24669"/>
    <x:sheet xmlns:r="http://schemas.openxmlformats.org/officeDocument/2006/relationships" name="模块报价" sheetId="2" r:id="R6be5c9f6e1094407"/>
    <x:sheet xmlns:r="http://schemas.openxmlformats.org/officeDocument/2006/relationships" name="需求明细" sheetId="3" r:id="Re2cfc2d1c8db4412"/>
    <x:sheet xmlns:r="http://schemas.openxmlformats.org/officeDocument/2006/relationships" name="参数与校验" sheetId="4" r:id="Re30c6f462ee44929"/>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0.0"/>
    <x:numFmt numFmtId="202" formatCode="¥#,##0"/>
    <x:numFmt numFmtId="203" formatCode="0%"/>
    <x:numFmt numFmtId="204" formatCode="0.00"/>
  </x:numFmts>
  <x:fonts count="16">
    <x:font>
      <x:sz val="11"/>
      <x:name val="Carlito"/>
    </x:font>
    <x:font>
      <x:b/>
      <x:sz val="18"/>
      <x:color rgb="FFFFFFFF"/>
      <x:name val="Microsoft YaHei"/>
    </x:font>
    <x:font>
      <x:sz val="9"/>
      <x:color rgb="FF1F4E78"/>
      <x:name val="Microsoft YaHei"/>
    </x:font>
    <x:font>
      <x:sz val="10"/>
      <x:color rgb="FF1F1F1F"/>
      <x:name val="Microsoft YaHei"/>
    </x:font>
    <x:font>
      <x:b/>
      <x:sz val="10"/>
      <x:color rgb="FF17365D"/>
      <x:name val="Microsoft YaHei"/>
    </x:font>
    <x:font>
      <x:b/>
      <x:sz val="16"/>
      <x:color rgb="FF1F4E78"/>
      <x:name val="Microsoft YaHei"/>
    </x:font>
    <x:font>
      <x:b/>
      <x:sz val="14"/>
      <x:color rgb="FF1F4E78"/>
      <x:name val="Microsoft YaHei"/>
    </x:font>
    <x:font>
      <x:sz val="9"/>
      <x:color rgb="FF2F6B2F"/>
      <x:name val="Microsoft YaHei"/>
    </x:font>
    <x:font>
      <x:b/>
      <x:sz val="14"/>
      <x:color rgb="FF2F6B2F"/>
      <x:name val="Microsoft YaHei"/>
    </x:font>
    <x:font>
      <x:b/>
      <x:sz val="10"/>
      <x:color rgb="FFFFFFFF"/>
      <x:name val="Microsoft YaHei"/>
    </x:font>
    <x:font>
      <x:b/>
      <x:sz val="12"/>
      <x:color rgb="FF2F6B2F"/>
      <x:name val="Microsoft YaHei"/>
    </x:font>
    <x:font>
      <x:sz val="10"/>
      <x:color rgb="FF8A5A00"/>
      <x:name val="Microsoft YaHei"/>
    </x:font>
    <x:font>
      <x:sz val="10"/>
      <x:color rgb="FFA61C00"/>
      <x:name val="Microsoft YaHei"/>
    </x:font>
    <x:font>
      <x:sz val="10"/>
      <x:color rgb="FF0000FF"/>
      <x:name val="Microsoft YaHei"/>
    </x:font>
    <x:font>
      <x:b/>
      <x:sz val="10"/>
      <x:color rgb="FF2F6B2F"/>
      <x:name val="Microsoft YaHei"/>
    </x:font>
    <x:font>
      <x:b/>
      <x:sz val="11"/>
      <x:color rgb="FFFFFFFF"/>
      <x:name val="Microsoft YaHei"/>
    </x:font>
  </x:fonts>
  <x:fills count="11">
    <x:fill>
      <x:patternFill patternType="none"/>
    </x:fill>
    <x:fill>
      <x:patternFill patternType="gray125"/>
    </x:fill>
    <x:fill>
      <x:patternFill patternType="solid">
        <x:fgColor rgb="FF17365D"/>
      </x:patternFill>
    </x:fill>
    <x:fill>
      <x:patternFill patternType="solid">
        <x:fgColor rgb="FFEAF3F8"/>
      </x:patternFill>
    </x:fill>
    <x:fill>
      <x:patternFill patternType="solid">
        <x:fgColor rgb="FFF2F2F2"/>
      </x:patternFill>
    </x:fill>
    <x:fill>
      <x:patternFill patternType="solid">
        <x:fgColor rgb="FFE2F0D9"/>
      </x:patternFill>
    </x:fill>
    <x:fill>
      <x:patternFill patternType="solid">
        <x:fgColor rgb="FF1F4E78"/>
      </x:patternFill>
    </x:fill>
    <x:fill>
      <x:patternFill patternType="solid">
        <x:fgColor rgb="FFD9EAF7"/>
      </x:patternFill>
    </x:fill>
    <x:fill>
      <x:patternFill patternType="solid">
        <x:fgColor rgb="FFFFF2CC"/>
      </x:patternFill>
    </x:fill>
    <x:fill>
      <x:patternFill patternType="solid">
        <x:fgColor rgb="FFFCE4D6"/>
      </x:patternFill>
    </x:fill>
    <x:fill>
      <x:patternFill patternType="solid">
        <x:fgColor rgb="FFF8FAFC"/>
      </x:patternFill>
    </x:fill>
  </x:fills>
  <x:borders count="28">
    <x:border/>
    <x:border>
      <x:left style="thin">
        <x:color rgb="FFC9D2DC"/>
      </x:left>
      <x:right style="thin">
        <x:color rgb="FFC9D2DC"/>
      </x:right>
      <x:top style="thin">
        <x:color rgb="FFC9D2DC"/>
      </x:top>
      <x:bottom style="thin">
        <x:color rgb="FFC9D2DC"/>
      </x:bottom>
    </x:border>
    <x:border>
      <x:left style="thin">
        <x:color rgb="FFC9D2DC"/>
      </x:left>
      <x:top style="thin">
        <x:color rgb="FFC9D2DC"/>
      </x:top>
    </x:border>
    <x:border>
      <x:right style="thin">
        <x:color rgb="FFC9D2DC"/>
      </x:right>
      <x:top style="thin">
        <x:color rgb="FFC9D2DC"/>
      </x:top>
    </x:border>
    <x:border>
      <x:left style="thin">
        <x:color rgb="FFC9D2DC"/>
      </x:left>
    </x:border>
    <x:border>
      <x:right style="thin">
        <x:color rgb="FFC9D2DC"/>
      </x:right>
    </x:border>
    <x:border>
      <x:left style="thin">
        <x:color rgb="FFC9D2DC"/>
      </x:left>
      <x:bottom style="thin">
        <x:color rgb="FFC9D2DC"/>
      </x:bottom>
    </x:border>
    <x:border>
      <x:right style="thin">
        <x:color rgb="FFC9D2DC"/>
      </x:right>
      <x:bottom style="thin">
        <x:color rgb="FFC9D2DC"/>
      </x:bottom>
    </x:border>
    <x:border>
      <x:right style="thin">
        <x:color rgb="FFE6EBF0"/>
      </x:right>
      <x:bottom style="thin">
        <x:color rgb="FFDCE3EA"/>
      </x:bottom>
    </x:border>
    <x:border>
      <x:left style="thin">
        <x:color rgb="FFE6EBF0"/>
      </x:left>
      <x:right style="thin">
        <x:color rgb="FFE6EBF0"/>
      </x:right>
      <x:bottom style="thin">
        <x:color rgb="FFDCE3EA"/>
      </x:bottom>
    </x:border>
    <x:border>
      <x:left style="thin">
        <x:color rgb="FFE6EBF0"/>
      </x:left>
      <x:bottom style="thin">
        <x:color rgb="FFDCE3EA"/>
      </x:bottom>
    </x:border>
    <x:border>
      <x:right style="thin">
        <x:color rgb="FFE6EBF0"/>
      </x:right>
      <x:top style="thin">
        <x:color rgb="FFDCE3EA"/>
      </x:top>
      <x:bottom style="thin">
        <x:color rgb="FFDCE3EA"/>
      </x:bottom>
    </x:border>
    <x:border>
      <x:left style="thin">
        <x:color rgb="FFE6EBF0"/>
      </x:left>
      <x:right style="thin">
        <x:color rgb="FFE6EBF0"/>
      </x:right>
      <x:top style="thin">
        <x:color rgb="FFDCE3EA"/>
      </x:top>
      <x:bottom style="thin">
        <x:color rgb="FFDCE3EA"/>
      </x:bottom>
    </x:border>
    <x:border>
      <x:left style="thin">
        <x:color rgb="FFE6EBF0"/>
      </x:left>
      <x:top style="thin">
        <x:color rgb="FFDCE3EA"/>
      </x:top>
      <x:bottom style="thin">
        <x:color rgb="FFDCE3EA"/>
      </x:bottom>
    </x:border>
    <x:border>
      <x:right style="thin">
        <x:color rgb="FFE6EBF0"/>
      </x:right>
      <x:top style="thin">
        <x:color rgb="FFDCE3EA"/>
      </x:top>
      <x:bottom style="thin">
        <x:color rgb="FFC9D2DC"/>
      </x:bottom>
    </x:border>
    <x:border>
      <x:left style="thin">
        <x:color rgb="FFE6EBF0"/>
      </x:left>
      <x:right style="thin">
        <x:color rgb="FFE6EBF0"/>
      </x:right>
      <x:top style="thin">
        <x:color rgb="FFDCE3EA"/>
      </x:top>
      <x:bottom style="thin">
        <x:color rgb="FFC9D2DC"/>
      </x:bottom>
    </x:border>
    <x:border>
      <x:left style="thin">
        <x:color rgb="FFE6EBF0"/>
      </x:left>
      <x:top style="thin">
        <x:color rgb="FFDCE3EA"/>
      </x:top>
      <x:bottom style="thin">
        <x:color rgb="FFC9D2DC"/>
      </x:bottom>
    </x:border>
    <x:border>
      <x:right style="thin">
        <x:color rgb="FFE6EBF0"/>
      </x:right>
      <x:top style="thin">
        <x:color rgb="FFDCE3EA"/>
      </x:top>
      <x:bottom style="double">
        <x:color rgb="FF2F6B2F"/>
      </x:bottom>
    </x:border>
    <x:border>
      <x:left style="thin">
        <x:color rgb="FFE6EBF0"/>
      </x:left>
      <x:right style="thin">
        <x:color rgb="FFE6EBF0"/>
      </x:right>
      <x:top style="thin">
        <x:color rgb="FFDCE3EA"/>
      </x:top>
      <x:bottom style="double">
        <x:color rgb="FF2F6B2F"/>
      </x:bottom>
    </x:border>
    <x:border>
      <x:top style="thin">
        <x:color rgb="FFC9D2DC"/>
      </x:top>
    </x:border>
    <x:border>
      <x:bottom style="thin">
        <x:color rgb="FFC9D2DC"/>
      </x:bottom>
    </x:border>
    <x:border>
      <x:left style="thin">
        <x:color rgb="FFC9D2DC"/>
      </x:left>
      <x:right style="thin">
        <x:color rgb="FFE6EBF0"/>
      </x:right>
      <x:bottom style="thin">
        <x:color rgb="FFDCE3EA"/>
      </x:bottom>
    </x:border>
    <x:border>
      <x:left style="thin">
        <x:color rgb="FFC9D2DC"/>
      </x:left>
      <x:right style="thin">
        <x:color rgb="FFE6EBF0"/>
      </x:right>
      <x:top style="thin">
        <x:color rgb="FFDCE3EA"/>
      </x:top>
      <x:bottom style="thin">
        <x:color rgb="FFDCE3EA"/>
      </x:bottom>
    </x:border>
    <x:border>
      <x:left style="thin">
        <x:color rgb="FFC9D2DC"/>
      </x:left>
      <x:right style="thin">
        <x:color rgb="FFE6EBF0"/>
      </x:right>
      <x:top style="thin">
        <x:color rgb="FFDCE3EA"/>
      </x:top>
      <x:bottom style="thin">
        <x:color rgb="FFC9D2DC"/>
      </x:bottom>
    </x:border>
    <x:border>
      <x:left style="thin">
        <x:color rgb="FFC9D2DC"/>
      </x:left>
      <x:right style="thin">
        <x:color rgb="FFE6EBF0"/>
      </x:right>
      <x:top style="thin">
        <x:color rgb="FFDCE3EA"/>
      </x:top>
      <x:bottom style="double">
        <x:color rgb="FF2F6B2F"/>
      </x:bottom>
    </x:border>
    <x:border>
      <x:left style="thin">
        <x:color rgb="FFE6EBF0"/>
      </x:left>
      <x:right style="thin">
        <x:color rgb="FFC9D2DC"/>
      </x:right>
      <x:bottom style="thin">
        <x:color rgb="FFDCE3EA"/>
      </x:bottom>
    </x:border>
    <x:border>
      <x:left style="thin">
        <x:color rgb="FFE6EBF0"/>
      </x:left>
      <x:right style="thin">
        <x:color rgb="FFC9D2DC"/>
      </x:right>
      <x:top style="thin">
        <x:color rgb="FFDCE3EA"/>
      </x:top>
      <x:bottom style="thin">
        <x:color rgb="FFDCE3EA"/>
      </x:bottom>
    </x:border>
    <x:border>
      <x:left style="thin">
        <x:color rgb="FFE6EBF0"/>
      </x:left>
      <x:right style="thin">
        <x:color rgb="FFC9D2DC"/>
      </x:right>
      <x:top style="thin">
        <x:color rgb="FFDCE3EA"/>
      </x:top>
      <x:bottom style="thin">
        <x:color rgb="FFC9D2DC"/>
      </x:bottom>
    </x:border>
  </x:borders>
  <x:cellStyleXfs count="1">
    <x:xf numFmtId="0" fontId="0" fillId="0" borderId="0"/>
  </x:cellStyleXfs>
  <x:cellXfs count="24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left" wrapText="1"/>
    </x:xf>
    <x:xf numFmtId="0" fontId="2" fillId="3" borderId="0" xfId="0" applyNumberFormat="1" applyFont="1" applyFill="1" applyBorder="1" applyAlignment="1">
      <x:alignment horizontal="lef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4" fillId="4" borderId="1"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horizontal="center"/>
    </x:xf>
    <x:xf numFmtId="0" fontId="2" fillId="3" borderId="3" xfId="0" applyNumberFormat="1" applyFont="1" applyFill="1" applyBorder="1" applyAlignment="1">
      <x:alignment horizontal="center"/>
    </x:xf>
    <x:xf numFmtId="0" fontId="2" fillId="3" borderId="4" xfId="0" applyNumberFormat="1" applyFont="1" applyFill="1" applyBorder="1" applyAlignment="1">
      <x:alignment horizontal="center"/>
    </x:xf>
    <x:xf numFmtId="0" fontId="2" fillId="3" borderId="5" xfId="0" applyNumberFormat="1" applyFont="1" applyFill="1" applyBorder="1" applyAlignment="1">
      <x:alignment horizontal="center"/>
    </x:xf>
    <x:xf numFmtId="0" fontId="2" fillId="3" borderId="6" xfId="0" applyNumberFormat="1" applyFont="1" applyFill="1" applyBorder="1" applyAlignment="1">
      <x:alignment horizontal="center"/>
    </x:xf>
    <x:xf numFmtId="0" fontId="2" fillId="3" borderId="7" xfId="0" applyNumberFormat="1" applyFont="1" applyFill="1" applyBorder="1" applyAlignment="1">
      <x:alignment horizontal="center"/>
    </x:xf>
    <x:xf numFmtId="0" fontId="2" fillId="3" borderId="2" xfId="0" applyNumberFormat="1" applyFont="1" applyFill="1" applyBorder="1" applyAlignment="1">
      <x:alignment horizontal="center" vertical="center"/>
    </x:xf>
    <x:xf numFmtId="0" fontId="2" fillId="3" borderId="3" xfId="0" applyNumberFormat="1" applyFont="1" applyFill="1" applyBorder="1" applyAlignment="1">
      <x:alignment horizontal="center" vertical="center"/>
    </x:xf>
    <x:xf numFmtId="0" fontId="2" fillId="3" borderId="4" xfId="0" applyNumberFormat="1" applyFont="1" applyFill="1" applyBorder="1" applyAlignment="1">
      <x:alignment horizontal="center" vertical="center"/>
    </x:xf>
    <x:xf numFmtId="0" fontId="2" fillId="3" borderId="5" xfId="0" applyNumberFormat="1" applyFont="1" applyFill="1" applyBorder="1" applyAlignment="1">
      <x:alignment horizontal="center" vertical="center"/>
    </x:xf>
    <x:xf numFmtId="0" fontId="2" fillId="3" borderId="6" xfId="0" applyNumberFormat="1" applyFont="1" applyFill="1" applyBorder="1" applyAlignment="1">
      <x:alignment horizontal="center" vertical="center"/>
    </x:xf>
    <x:xf numFmtId="0" fontId="2" fillId="3" borderId="7" xfId="0" applyNumberFormat="1" applyFont="1" applyFill="1" applyBorder="1" applyAlignment="1">
      <x:alignment horizontal="center" vertical="center"/>
    </x:xf>
    <x:xf numFmtId="0" fontId="5" fillId="3" borderId="4" xfId="0" applyNumberFormat="1" applyFont="1" applyFill="1" applyBorder="1" applyAlignment="1">
      <x:alignment horizontal="center" vertical="center"/>
    </x:xf>
    <x:xf numFmtId="200" fontId="5" fillId="3" borderId="4" xfId="0" applyNumberFormat="1" applyFont="1" applyFill="1" applyBorder="1" applyAlignment="1">
      <x:alignment horizontal="center" vertical="center"/>
    </x:xf>
    <x:xf numFmtId="201" fontId="5" fillId="3" borderId="4" xfId="0" applyNumberFormat="1" applyFont="1" applyFill="1" applyBorder="1" applyAlignment="1">
      <x:alignment horizontal="center" vertical="center"/>
    </x:xf>
    <x:xf numFmtId="0" fontId="6" fillId="3" borderId="4" xfId="0" applyNumberFormat="1" applyFont="1" applyFill="1" applyBorder="1" applyAlignment="1">
      <x:alignment horizontal="center" vertical="center"/>
    </x:xf>
    <x:xf numFmtId="202" fontId="6" fillId="3" borderId="4" xfId="0" applyNumberFormat="1" applyFont="1" applyFill="1" applyBorder="1" applyAlignment="1">
      <x:alignment horizontal="center" vertical="center"/>
    </x:xf>
    <x:xf numFmtId="0" fontId="0" fillId="5" borderId="0" xfId="0" applyNumberFormat="1" applyFont="1" applyFill="1" applyBorder="1"/>
    <x:xf numFmtId="0" fontId="7" fillId="5" borderId="0" xfId="0" applyNumberFormat="1" applyFont="1" applyFill="1" applyBorder="1"/>
    <x:xf numFmtId="0" fontId="7" fillId="5" borderId="2" xfId="0" applyNumberFormat="1" applyFont="1" applyFill="1" applyBorder="1"/>
    <x:xf numFmtId="0" fontId="7" fillId="5" borderId="3" xfId="0" applyNumberFormat="1" applyFont="1" applyFill="1" applyBorder="1"/>
    <x:xf numFmtId="0" fontId="7" fillId="5" borderId="4"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2" xfId="0" applyNumberFormat="1" applyFont="1" applyFill="1" applyBorder="1" applyAlignment="1">
      <x:alignment horizontal="center"/>
    </x:xf>
    <x:xf numFmtId="0" fontId="7" fillId="5" borderId="3" xfId="0" applyNumberFormat="1" applyFont="1" applyFill="1" applyBorder="1" applyAlignment="1">
      <x:alignment horizontal="center"/>
    </x:xf>
    <x:xf numFmtId="0" fontId="7" fillId="5" borderId="4" xfId="0" applyNumberFormat="1" applyFont="1" applyFill="1" applyBorder="1" applyAlignment="1">
      <x:alignment horizontal="center"/>
    </x:xf>
    <x:xf numFmtId="0" fontId="7" fillId="5" borderId="5" xfId="0" applyNumberFormat="1" applyFont="1" applyFill="1" applyBorder="1" applyAlignment="1">
      <x:alignment horizontal="center"/>
    </x:xf>
    <x:xf numFmtId="0" fontId="7" fillId="5" borderId="6" xfId="0" applyNumberFormat="1" applyFont="1" applyFill="1" applyBorder="1" applyAlignment="1">
      <x:alignment horizontal="center"/>
    </x:xf>
    <x:xf numFmtId="0" fontId="7" fillId="5" borderId="7" xfId="0" applyNumberFormat="1" applyFont="1" applyFill="1" applyBorder="1" applyAlignment="1">
      <x:alignment horizontal="center"/>
    </x:xf>
    <x:xf numFmtId="0" fontId="7" fillId="5" borderId="2" xfId="0" applyNumberFormat="1" applyFont="1" applyFill="1" applyBorder="1" applyAlignment="1">
      <x:alignment horizontal="center" vertical="center"/>
    </x:xf>
    <x:xf numFmtId="0" fontId="7" fillId="5" borderId="3" xfId="0" applyNumberFormat="1" applyFont="1" applyFill="1" applyBorder="1" applyAlignment="1">
      <x:alignment horizontal="center" vertical="center"/>
    </x:xf>
    <x:xf numFmtId="0" fontId="7" fillId="5" borderId="4" xfId="0" applyNumberFormat="1" applyFont="1" applyFill="1" applyBorder="1" applyAlignment="1">
      <x:alignment horizontal="center" vertical="center"/>
    </x:xf>
    <x:xf numFmtId="0" fontId="7" fillId="5" borderId="5" xfId="0" applyNumberFormat="1" applyFont="1" applyFill="1" applyBorder="1" applyAlignment="1">
      <x:alignment horizontal="center" vertical="center"/>
    </x:xf>
    <x:xf numFmtId="0" fontId="7" fillId="5" borderId="6" xfId="0" applyNumberFormat="1" applyFont="1" applyFill="1" applyBorder="1" applyAlignment="1">
      <x:alignment horizontal="center" vertical="center"/>
    </x:xf>
    <x:xf numFmtId="0" fontId="7" fillId="5" borderId="7" xfId="0" applyNumberFormat="1" applyFont="1" applyFill="1" applyBorder="1" applyAlignment="1">
      <x:alignment horizontal="center" vertical="center"/>
    </x:xf>
    <x:xf numFmtId="0" fontId="8" fillId="5" borderId="4" xfId="0" applyNumberFormat="1" applyFont="1" applyFill="1" applyBorder="1" applyAlignment="1">
      <x:alignment horizontal="center" vertical="center"/>
    </x:xf>
    <x:xf numFmtId="202" fontId="8" fillId="5" borderId="4" xfId="0" applyNumberFormat="1" applyFont="1" applyFill="1" applyBorder="1" applyAlignment="1">
      <x:alignment horizontal="center" vertical="center"/>
    </x:xf>
    <x:xf numFmtId="0" fontId="0" fillId="6" borderId="0" xfId="0" applyNumberFormat="1" applyFont="1" applyFill="1" applyBorder="1"/>
    <x:xf numFmtId="0" fontId="9" fillId="6" borderId="0" xfId="0" applyNumberFormat="1" applyFont="1" applyFill="1" applyBorder="1"/>
    <x:xf numFmtId="0" fontId="9" fillId="6" borderId="1" xfId="0" applyNumberFormat="1" applyFont="1" applyFill="1" applyBorder="1"/>
    <x:xf numFmtId="0" fontId="9" fillId="6" borderId="1" xfId="0" applyNumberFormat="1" applyFont="1" applyFill="1" applyBorder="1" applyAlignment="1">
      <x:alignment wrapText="1"/>
    </x:xf>
    <x:xf numFmtId="0" fontId="9" fillId="6" borderId="1" xfId="0" applyNumberFormat="1" applyFont="1" applyFill="1" applyBorder="1" applyAlignment="1">
      <x:alignment horizontal="center" wrapText="1"/>
    </x:xf>
    <x:xf numFmtId="0" fontId="9" fillId="6" borderId="1" xfId="0" applyNumberFormat="1" applyFont="1" applyFill="1" applyBorder="1" applyAlignment="1">
      <x:alignment horizontal="center" vertical="center" wrapText="1"/>
    </x:xf>
    <x:xf numFmtId="0" fontId="3" fillId="0" borderId="0" xfId="0" applyNumberFormat="1" applyFont="1" applyFill="1" applyBorder="1"/>
    <x:xf numFmtId="0" fontId="3" fillId="0" borderId="0" xfId="0" applyNumberFormat="1" applyFont="1" applyFill="1" applyBorder="1" applyAlignment="1">
      <x:alignment vertical="center"/>
    </x:xf>
    <x:xf numFmtId="0" fontId="3" fillId="0" borderId="0" xfId="0" applyNumberFormat="1" applyFont="1" applyFill="1" applyBorder="1" applyAlignment="1">
      <x:alignment vertical="center" wrapText="1"/>
    </x:xf>
    <x:xf numFmtId="0" fontId="3" fillId="0" borderId="8" xfId="0" applyNumberFormat="1" applyFont="1" applyFill="1" applyBorder="1" applyAlignment="1">
      <x:alignment vertical="center" wrapText="1"/>
    </x:xf>
    <x:xf numFmtId="0" fontId="3" fillId="0" borderId="9" xfId="0" applyNumberFormat="1" applyFont="1" applyFill="1" applyBorder="1" applyAlignment="1">
      <x:alignment vertical="center" wrapText="1"/>
    </x:xf>
    <x:xf numFmtId="0" fontId="3" fillId="0" borderId="10" xfId="0" applyNumberFormat="1" applyFont="1" applyFill="1" applyBorder="1" applyAlignment="1">
      <x:alignment vertical="center" wrapText="1"/>
    </x:xf>
    <x:xf numFmtId="0" fontId="3" fillId="0" borderId="11" xfId="0" applyNumberFormat="1" applyFont="1" applyFill="1" applyBorder="1" applyAlignment="1">
      <x:alignment vertical="center" wrapText="1"/>
    </x:xf>
    <x:xf numFmtId="0" fontId="3" fillId="0" borderId="12" xfId="0" applyNumberFormat="1" applyFont="1" applyFill="1" applyBorder="1" applyAlignment="1">
      <x:alignment vertical="center" wrapText="1"/>
    </x:xf>
    <x:xf numFmtId="0" fontId="3" fillId="0" borderId="13" xfId="0" applyNumberFormat="1" applyFont="1" applyFill="1" applyBorder="1" applyAlignment="1">
      <x:alignment vertical="center" wrapText="1"/>
    </x:xf>
    <x:xf numFmtId="0" fontId="3" fillId="0" borderId="14" xfId="0" applyNumberFormat="1" applyFont="1" applyFill="1" applyBorder="1" applyAlignment="1">
      <x:alignment vertical="center" wrapText="1"/>
    </x:xf>
    <x:xf numFmtId="0" fontId="3" fillId="0" borderId="15" xfId="0" applyNumberFormat="1" applyFont="1" applyFill="1" applyBorder="1" applyAlignment="1">
      <x:alignment vertical="center" wrapText="1"/>
    </x:xf>
    <x:xf numFmtId="0" fontId="3" fillId="0" borderId="16" xfId="0" applyNumberFormat="1" applyFont="1" applyFill="1" applyBorder="1" applyAlignment="1">
      <x:alignment vertical="center" wrapText="1"/>
    </x:xf>
    <x:xf numFmtId="0" fontId="3" fillId="0" borderId="9" xfId="0" applyNumberFormat="1" applyFont="1" applyFill="1" applyBorder="1" applyAlignment="1">
      <x:alignment horizontal="right" vertical="center" wrapText="1"/>
    </x:xf>
    <x:xf numFmtId="0" fontId="3" fillId="0" borderId="10" xfId="0" applyNumberFormat="1" applyFont="1" applyFill="1" applyBorder="1" applyAlignment="1">
      <x:alignment horizontal="right" vertical="center" wrapText="1"/>
    </x:xf>
    <x:xf numFmtId="0" fontId="3" fillId="0" borderId="12" xfId="0" applyNumberFormat="1" applyFont="1" applyFill="1" applyBorder="1" applyAlignment="1">
      <x:alignment horizontal="right" vertical="center" wrapText="1"/>
    </x:xf>
    <x:xf numFmtId="0" fontId="3" fillId="0" borderId="13" xfId="0" applyNumberFormat="1" applyFont="1" applyFill="1" applyBorder="1" applyAlignment="1">
      <x:alignment horizontal="right" vertical="center" wrapText="1"/>
    </x:xf>
    <x:xf numFmtId="0" fontId="3" fillId="0" borderId="15" xfId="0" applyNumberFormat="1" applyFont="1" applyFill="1" applyBorder="1" applyAlignment="1">
      <x:alignment horizontal="right" vertical="center" wrapText="1"/>
    </x:xf>
    <x:xf numFmtId="0" fontId="3" fillId="0" borderId="16" xfId="0" applyNumberFormat="1" applyFont="1" applyFill="1" applyBorder="1" applyAlignment="1">
      <x:alignment horizontal="right" vertical="center" wrapText="1"/>
    </x:xf>
    <x:xf numFmtId="201" fontId="3" fillId="0" borderId="9" xfId="0" applyNumberFormat="1" applyFont="1" applyFill="1" applyBorder="1" applyAlignment="1">
      <x:alignment horizontal="right" vertical="center" wrapText="1"/>
    </x:xf>
    <x:xf numFmtId="200" fontId="3" fillId="0" borderId="12" xfId="0" applyNumberFormat="1" applyFont="1" applyFill="1" applyBorder="1" applyAlignment="1">
      <x:alignment horizontal="right" vertical="center" wrapText="1"/>
    </x:xf>
    <x:xf numFmtId="200" fontId="3" fillId="0" borderId="15" xfId="0" applyNumberFormat="1" applyFont="1" applyFill="1" applyBorder="1" applyAlignment="1">
      <x:alignment horizontal="right" vertical="center" wrapText="1"/>
    </x:xf>
    <x:xf numFmtId="202" fontId="3" fillId="0" borderId="9" xfId="0" applyNumberFormat="1" applyFont="1" applyFill="1" applyBorder="1" applyAlignment="1">
      <x:alignment horizontal="right" vertical="center" wrapText="1"/>
    </x:xf>
    <x:xf numFmtId="202" fontId="3" fillId="0" borderId="10" xfId="0" applyNumberFormat="1" applyFont="1" applyFill="1" applyBorder="1" applyAlignment="1">
      <x:alignment horizontal="right" vertical="center" wrapText="1"/>
    </x:xf>
    <x:xf numFmtId="202" fontId="3" fillId="0" borderId="12" xfId="0" applyNumberFormat="1" applyFont="1" applyFill="1" applyBorder="1" applyAlignment="1">
      <x:alignment horizontal="right" vertical="center" wrapText="1"/>
    </x:xf>
    <x:xf numFmtId="202" fontId="3" fillId="0" borderId="13" xfId="0" applyNumberFormat="1" applyFont="1" applyFill="1" applyBorder="1" applyAlignment="1">
      <x:alignment horizontal="right" vertical="center" wrapText="1"/>
    </x:xf>
    <x:xf numFmtId="202" fontId="3" fillId="0" borderId="15" xfId="0" applyNumberFormat="1" applyFont="1" applyFill="1" applyBorder="1" applyAlignment="1">
      <x:alignment horizontal="right" vertical="center" wrapText="1"/>
    </x:xf>
    <x:xf numFmtId="202" fontId="3" fillId="0" borderId="16" xfId="0" applyNumberFormat="1" applyFont="1" applyFill="1" applyBorder="1" applyAlignment="1">
      <x:alignment horizontal="right" vertical="center" wrapText="1"/>
    </x:xf>
    <x:xf numFmtId="0" fontId="0" fillId="7" borderId="0" xfId="0" applyNumberFormat="1" applyFont="1" applyFill="1" applyBorder="1"/>
    <x:xf numFmtId="0" fontId="4" fillId="7" borderId="0" xfId="0" applyNumberFormat="1" applyFont="1" applyFill="1" applyBorder="1"/>
    <x:xf numFmtId="0" fontId="4" fillId="7" borderId="1" xfId="0" applyNumberFormat="1" applyFont="1" applyFill="1" applyBorder="1"/>
    <x:xf numFmtId="202" fontId="4" fillId="7" borderId="1" xfId="0" applyNumberFormat="1" applyFont="1" applyFill="1" applyBorder="1"/>
    <x:xf numFmtId="202" fontId="3" fillId="0" borderId="10" xfId="0" applyNumberFormat="1" applyFont="1" applyFill="1" applyBorder="1" applyAlignment="1">
      <x:alignment vertical="center" wrapText="1"/>
    </x:xf>
    <x:xf numFmtId="202" fontId="3" fillId="0" borderId="13" xfId="0" applyNumberFormat="1" applyFont="1" applyFill="1" applyBorder="1" applyAlignment="1">
      <x:alignment vertical="center" wrapText="1"/>
    </x:xf>
    <x:xf numFmtId="202" fontId="3" fillId="0" borderId="16" xfId="0" applyNumberFormat="1" applyFont="1" applyFill="1" applyBorder="1" applyAlignment="1">
      <x:alignment vertical="center" wrapText="1"/>
    </x:xf>
    <x:xf numFmtId="0" fontId="3" fillId="5" borderId="14" xfId="0" applyNumberFormat="1" applyFont="1" applyFill="1" applyBorder="1" applyAlignment="1">
      <x:alignment vertical="center" wrapText="1"/>
    </x:xf>
    <x:xf numFmtId="202" fontId="3" fillId="5" borderId="16" xfId="0" applyNumberFormat="1" applyFont="1" applyFill="1" applyBorder="1" applyAlignment="1">
      <x:alignment vertical="center" wrapText="1"/>
    </x:xf>
    <x:xf numFmtId="0" fontId="10" fillId="5" borderId="14" xfId="0" applyNumberFormat="1" applyFont="1" applyFill="1" applyBorder="1" applyAlignment="1">
      <x:alignment vertical="center" wrapText="1"/>
    </x:xf>
    <x:xf numFmtId="202" fontId="10" fillId="5" borderId="16" xfId="0" applyNumberFormat="1" applyFont="1" applyFill="1" applyBorder="1" applyAlignment="1">
      <x:alignment vertical="center" wrapText="1"/>
    </x:xf>
    <x:xf numFmtId="0" fontId="10" fillId="5" borderId="17" xfId="0" applyNumberFormat="1" applyFont="1" applyFill="1" applyBorder="1" applyAlignment="1">
      <x:alignment vertical="center" wrapText="1"/>
    </x:xf>
    <x:xf numFmtId="202" fontId="10" fillId="5" borderId="18" xfId="0" applyNumberFormat="1" applyFont="1" applyFill="1" applyBorder="1" applyAlignment="1">
      <x:alignment vertical="center" wrapText="1"/>
    </x:xf>
    <x:xf numFmtId="0" fontId="0" fillId="8" borderId="0" xfId="0" applyNumberFormat="1" applyFont="1" applyFill="1" applyBorder="1"/>
    <x:xf numFmtId="0" fontId="11" fillId="8" borderId="0" xfId="0" applyNumberFormat="1" applyFont="1" applyFill="1" applyBorder="1"/>
    <x:xf numFmtId="0" fontId="11" fillId="8" borderId="2" xfId="0" applyNumberFormat="1" applyFont="1" applyFill="1" applyBorder="1"/>
    <x:xf numFmtId="0" fontId="11" fillId="8" borderId="19" xfId="0" applyNumberFormat="1" applyFont="1" applyFill="1" applyBorder="1"/>
    <x:xf numFmtId="0" fontId="11" fillId="8" borderId="3" xfId="0" applyNumberFormat="1" applyFont="1" applyFill="1" applyBorder="1"/>
    <x:xf numFmtId="0" fontId="11" fillId="8" borderId="4" xfId="0" applyNumberFormat="1" applyFont="1" applyFill="1" applyBorder="1"/>
    <x:xf numFmtId="0" fontId="11" fillId="8" borderId="5" xfId="0" applyNumberFormat="1" applyFont="1" applyFill="1" applyBorder="1"/>
    <x:xf numFmtId="0" fontId="11" fillId="8" borderId="6" xfId="0" applyNumberFormat="1" applyFont="1" applyFill="1" applyBorder="1"/>
    <x:xf numFmtId="0" fontId="11" fillId="8" borderId="20" xfId="0" applyNumberFormat="1" applyFont="1" applyFill="1" applyBorder="1"/>
    <x:xf numFmtId="0" fontId="11" fillId="8" borderId="7" xfId="0" applyNumberFormat="1" applyFont="1" applyFill="1" applyBorder="1"/>
    <x:xf numFmtId="0" fontId="11" fillId="8" borderId="2" xfId="0" applyNumberFormat="1" applyFont="1" applyFill="1" applyBorder="1" applyAlignment="1">
      <x:alignment wrapText="1"/>
    </x:xf>
    <x:xf numFmtId="0" fontId="11" fillId="8" borderId="19" xfId="0" applyNumberFormat="1" applyFont="1" applyFill="1" applyBorder="1" applyAlignment="1">
      <x:alignment wrapText="1"/>
    </x:xf>
    <x:xf numFmtId="0" fontId="11" fillId="8" borderId="3" xfId="0" applyNumberFormat="1" applyFont="1" applyFill="1" applyBorder="1" applyAlignment="1">
      <x:alignment wrapText="1"/>
    </x:xf>
    <x:xf numFmtId="0" fontId="11" fillId="8" borderId="4" xfId="0" applyNumberFormat="1" applyFont="1" applyFill="1" applyBorder="1" applyAlignment="1">
      <x:alignment wrapText="1"/>
    </x:xf>
    <x:xf numFmtId="0" fontId="11" fillId="8" borderId="0" xfId="0" applyNumberFormat="1" applyFont="1" applyFill="1" applyBorder="1" applyAlignment="1">
      <x:alignment wrapText="1"/>
    </x:xf>
    <x:xf numFmtId="0" fontId="11" fillId="8" borderId="5" xfId="0" applyNumberFormat="1" applyFont="1" applyFill="1" applyBorder="1" applyAlignment="1">
      <x:alignment wrapText="1"/>
    </x:xf>
    <x:xf numFmtId="0" fontId="11" fillId="8" borderId="6" xfId="0" applyNumberFormat="1" applyFont="1" applyFill="1" applyBorder="1" applyAlignment="1">
      <x:alignment wrapText="1"/>
    </x:xf>
    <x:xf numFmtId="0" fontId="11" fillId="8" borderId="20" xfId="0" applyNumberFormat="1" applyFont="1" applyFill="1" applyBorder="1" applyAlignment="1">
      <x:alignment wrapText="1"/>
    </x:xf>
    <x:xf numFmtId="0" fontId="11" fillId="8" borderId="7" xfId="0" applyNumberFormat="1" applyFont="1" applyFill="1" applyBorder="1" applyAlignment="1">
      <x:alignment wrapText="1"/>
    </x:xf>
    <x:xf numFmtId="0" fontId="11" fillId="8" borderId="2" xfId="0" applyNumberFormat="1" applyFont="1" applyFill="1" applyBorder="1" applyAlignment="1">
      <x:alignment vertical="top" wrapText="1"/>
    </x:xf>
    <x:xf numFmtId="0" fontId="11" fillId="8" borderId="19" xfId="0" applyNumberFormat="1" applyFont="1" applyFill="1" applyBorder="1" applyAlignment="1">
      <x:alignment vertical="top" wrapText="1"/>
    </x:xf>
    <x:xf numFmtId="0" fontId="11" fillId="8" borderId="3" xfId="0" applyNumberFormat="1" applyFont="1" applyFill="1" applyBorder="1" applyAlignment="1">
      <x:alignment vertical="top" wrapText="1"/>
    </x:xf>
    <x:xf numFmtId="0" fontId="11" fillId="8" borderId="4" xfId="0" applyNumberFormat="1" applyFont="1" applyFill="1" applyBorder="1" applyAlignment="1">
      <x:alignment vertical="top" wrapText="1"/>
    </x:xf>
    <x:xf numFmtId="0" fontId="11" fillId="8" borderId="0" xfId="0" applyNumberFormat="1" applyFont="1" applyFill="1" applyBorder="1" applyAlignment="1">
      <x:alignment vertical="top" wrapText="1"/>
    </x:xf>
    <x:xf numFmtId="0" fontId="11" fillId="8" borderId="5" xfId="0" applyNumberFormat="1" applyFont="1" applyFill="1" applyBorder="1" applyAlignment="1">
      <x:alignment vertical="top" wrapText="1"/>
    </x:xf>
    <x:xf numFmtId="0" fontId="11" fillId="8" borderId="6" xfId="0" applyNumberFormat="1" applyFont="1" applyFill="1" applyBorder="1" applyAlignment="1">
      <x:alignment vertical="top" wrapText="1"/>
    </x:xf>
    <x:xf numFmtId="0" fontId="11" fillId="8" borderId="20" xfId="0" applyNumberFormat="1" applyFont="1" applyFill="1" applyBorder="1" applyAlignment="1">
      <x:alignment vertical="top" wrapText="1"/>
    </x:xf>
    <x:xf numFmtId="0" fontId="11" fillId="8" borderId="7" xfId="0" applyNumberFormat="1" applyFont="1" applyFill="1" applyBorder="1" applyAlignment="1">
      <x:alignment vertical="top" wrapText="1"/>
    </x:xf>
    <x:xf numFmtId="200" fontId="3" fillId="0" borderId="9" xfId="0" applyNumberFormat="1" applyFont="1" applyFill="1" applyBorder="1" applyAlignment="1">
      <x:alignment vertical="center" wrapText="1"/>
    </x:xf>
    <x:xf numFmtId="200" fontId="3" fillId="0" borderId="12" xfId="0" applyNumberFormat="1" applyFont="1" applyFill="1" applyBorder="1" applyAlignment="1">
      <x:alignment vertical="center" wrapText="1"/>
    </x:xf>
    <x:xf numFmtId="200" fontId="3" fillId="0" borderId="15" xfId="0" applyNumberFormat="1" applyFont="1" applyFill="1" applyBorder="1" applyAlignment="1">
      <x:alignment vertical="center" wrapText="1"/>
    </x:xf>
    <x:xf numFmtId="201" fontId="3" fillId="0" borderId="10" xfId="0" applyNumberFormat="1" applyFont="1" applyFill="1" applyBorder="1" applyAlignment="1">
      <x:alignment vertical="center" wrapText="1"/>
    </x:xf>
    <x:xf numFmtId="201" fontId="3" fillId="0" borderId="13" xfId="0" applyNumberFormat="1" applyFont="1" applyFill="1" applyBorder="1" applyAlignment="1">
      <x:alignment vertical="center" wrapText="1"/>
    </x:xf>
    <x:xf numFmtId="201" fontId="3" fillId="0" borderId="16" xfId="0" applyNumberFormat="1" applyFont="1" applyFill="1" applyBorder="1" applyAlignment="1">
      <x:alignment vertical="center" wrapText="1"/>
    </x:xf>
    <x:xf numFmtId="200" fontId="3" fillId="0" borderId="9" xfId="0" applyNumberFormat="1" applyFont="1" applyFill="1" applyBorder="1" applyAlignment="1">
      <x:alignment horizontal="right" vertical="center" wrapText="1"/>
    </x:xf>
    <x:xf numFmtId="201" fontId="3" fillId="0" borderId="10" xfId="0" applyNumberFormat="1" applyFont="1" applyFill="1" applyBorder="1" applyAlignment="1">
      <x:alignment horizontal="right" vertical="center" wrapText="1"/>
    </x:xf>
    <x:xf numFmtId="201" fontId="3" fillId="0" borderId="13" xfId="0" applyNumberFormat="1" applyFont="1" applyFill="1" applyBorder="1" applyAlignment="1">
      <x:alignment horizontal="right" vertical="center" wrapText="1"/>
    </x:xf>
    <x:xf numFmtId="201" fontId="3" fillId="0" borderId="16" xfId="0" applyNumberFormat="1" applyFont="1" applyFill="1" applyBorder="1" applyAlignment="1">
      <x:alignment horizontal="right" vertical="center" wrapText="1"/>
    </x:xf>
    <x:xf numFmtId="0" fontId="0" fillId="9" borderId="0" xfId="0" applyNumberFormat="1" applyFont="1" applyFill="1" applyBorder="1"/>
    <x:xf numFmtId="0" fontId="12" fillId="9" borderId="0" xfId="0" applyNumberFormat="1" applyFont="1" applyFill="1" applyBorder="1"/>
    <x:xf numFmtId="0" fontId="12" fillId="9" borderId="2" xfId="0" applyNumberFormat="1" applyFont="1" applyFill="1" applyBorder="1"/>
    <x:xf numFmtId="0" fontId="12" fillId="9" borderId="19" xfId="0" applyNumberFormat="1" applyFont="1" applyFill="1" applyBorder="1"/>
    <x:xf numFmtId="0" fontId="12" fillId="9" borderId="3" xfId="0" applyNumberFormat="1" applyFont="1" applyFill="1" applyBorder="1"/>
    <x:xf numFmtId="0" fontId="12" fillId="9" borderId="4" xfId="0" applyNumberFormat="1" applyFont="1" applyFill="1" applyBorder="1"/>
    <x:xf numFmtId="0" fontId="12" fillId="9" borderId="5" xfId="0" applyNumberFormat="1" applyFont="1" applyFill="1" applyBorder="1"/>
    <x:xf numFmtId="0" fontId="12" fillId="9" borderId="6" xfId="0" applyNumberFormat="1" applyFont="1" applyFill="1" applyBorder="1"/>
    <x:xf numFmtId="0" fontId="12" fillId="9" borderId="20" xfId="0" applyNumberFormat="1" applyFont="1" applyFill="1" applyBorder="1"/>
    <x:xf numFmtId="0" fontId="12" fillId="9" borderId="7" xfId="0" applyNumberFormat="1" applyFont="1" applyFill="1" applyBorder="1"/>
    <x:xf numFmtId="0" fontId="12" fillId="9" borderId="2" xfId="0" applyNumberFormat="1" applyFont="1" applyFill="1" applyBorder="1" applyAlignment="1">
      <x:alignment wrapText="1"/>
    </x:xf>
    <x:xf numFmtId="0" fontId="12" fillId="9" borderId="19" xfId="0" applyNumberFormat="1" applyFont="1" applyFill="1" applyBorder="1" applyAlignment="1">
      <x:alignment wrapText="1"/>
    </x:xf>
    <x:xf numFmtId="0" fontId="12" fillId="9" borderId="3" xfId="0" applyNumberFormat="1" applyFont="1" applyFill="1" applyBorder="1" applyAlignment="1">
      <x:alignment wrapText="1"/>
    </x:xf>
    <x:xf numFmtId="0" fontId="12" fillId="9" borderId="4" xfId="0" applyNumberFormat="1" applyFont="1" applyFill="1" applyBorder="1" applyAlignment="1">
      <x:alignment wrapText="1"/>
    </x:xf>
    <x:xf numFmtId="0" fontId="12" fillId="9" borderId="0" xfId="0" applyNumberFormat="1" applyFont="1" applyFill="1" applyBorder="1" applyAlignment="1">
      <x:alignment wrapText="1"/>
    </x:xf>
    <x:xf numFmtId="0" fontId="12" fillId="9" borderId="5" xfId="0" applyNumberFormat="1" applyFont="1" applyFill="1" applyBorder="1" applyAlignment="1">
      <x:alignment wrapText="1"/>
    </x:xf>
    <x:xf numFmtId="0" fontId="12" fillId="9" borderId="6" xfId="0" applyNumberFormat="1" applyFont="1" applyFill="1" applyBorder="1" applyAlignment="1">
      <x:alignment wrapText="1"/>
    </x:xf>
    <x:xf numFmtId="0" fontId="12" fillId="9" borderId="20" xfId="0" applyNumberFormat="1" applyFont="1" applyFill="1" applyBorder="1" applyAlignment="1">
      <x:alignment wrapText="1"/>
    </x:xf>
    <x:xf numFmtId="0" fontId="12" fillId="9" borderId="7" xfId="0" applyNumberFormat="1" applyFont="1" applyFill="1" applyBorder="1" applyAlignment="1">
      <x:alignment wrapText="1"/>
    </x:xf>
    <x:xf numFmtId="0" fontId="12" fillId="9" borderId="2" xfId="0" applyNumberFormat="1" applyFont="1" applyFill="1" applyBorder="1" applyAlignment="1">
      <x:alignment vertical="top" wrapText="1"/>
    </x:xf>
    <x:xf numFmtId="0" fontId="12" fillId="9" borderId="19" xfId="0" applyNumberFormat="1" applyFont="1" applyFill="1" applyBorder="1" applyAlignment="1">
      <x:alignment vertical="top" wrapText="1"/>
    </x:xf>
    <x:xf numFmtId="0" fontId="12" fillId="9" borderId="3" xfId="0" applyNumberFormat="1" applyFont="1" applyFill="1" applyBorder="1" applyAlignment="1">
      <x:alignment vertical="top" wrapText="1"/>
    </x:xf>
    <x:xf numFmtId="0" fontId="12" fillId="9" borderId="4" xfId="0" applyNumberFormat="1" applyFont="1" applyFill="1" applyBorder="1" applyAlignment="1">
      <x:alignment vertical="top" wrapText="1"/>
    </x:xf>
    <x:xf numFmtId="0" fontId="12" fillId="9" borderId="0" xfId="0" applyNumberFormat="1" applyFont="1" applyFill="1" applyBorder="1" applyAlignment="1">
      <x:alignment vertical="top" wrapText="1"/>
    </x:xf>
    <x:xf numFmtId="0" fontId="12" fillId="9" borderId="5" xfId="0" applyNumberFormat="1" applyFont="1" applyFill="1" applyBorder="1" applyAlignment="1">
      <x:alignment vertical="top" wrapText="1"/>
    </x:xf>
    <x:xf numFmtId="0" fontId="12" fillId="9" borderId="6" xfId="0" applyNumberFormat="1" applyFont="1" applyFill="1" applyBorder="1" applyAlignment="1">
      <x:alignment vertical="top" wrapText="1"/>
    </x:xf>
    <x:xf numFmtId="0" fontId="12" fillId="9" borderId="20" xfId="0" applyNumberFormat="1" applyFont="1" applyFill="1" applyBorder="1" applyAlignment="1">
      <x:alignment vertical="top" wrapText="1"/>
    </x:xf>
    <x:xf numFmtId="0" fontId="12" fillId="9" borderId="7" xfId="0" applyNumberFormat="1" applyFont="1" applyFill="1" applyBorder="1" applyAlignment="1">
      <x:alignment vertical="top" wrapText="1"/>
    </x:xf>
    <x:xf numFmtId="0" fontId="1" fillId="2" borderId="2" xfId="0" applyNumberFormat="1" applyFont="1" applyFill="1" applyBorder="1" applyAlignment="1">
      <x:alignment horizontal="left" vertical="center"/>
    </x:xf>
    <x:xf numFmtId="0" fontId="1" fillId="2" borderId="19" xfId="0" applyNumberFormat="1" applyFont="1" applyFill="1" applyBorder="1" applyAlignment="1">
      <x:alignment horizontal="left" vertical="center"/>
    </x:xf>
    <x:xf numFmtId="0" fontId="1" fillId="2" borderId="3" xfId="0" applyNumberFormat="1" applyFont="1" applyFill="1" applyBorder="1" applyAlignment="1">
      <x:alignment horizontal="left" vertical="center"/>
    </x:xf>
    <x:xf numFmtId="0" fontId="2" fillId="3" borderId="4" xfId="0" applyNumberFormat="1" applyFont="1" applyFill="1" applyBorder="1" applyAlignment="1">
      <x:alignment horizontal="left" vertical="center" wrapText="1"/>
    </x:xf>
    <x:xf numFmtId="0" fontId="2" fillId="3" borderId="5" xfId="0" applyNumberFormat="1" applyFont="1" applyFill="1" applyBorder="1" applyAlignment="1">
      <x:alignment horizontal="left" vertical="center" wrapText="1"/>
    </x:xf>
    <x:xf numFmtId="0" fontId="0" fillId="0" borderId="4" xfId="0" applyNumberFormat="1" applyFont="1" applyFill="1" applyBorder="1"/>
    <x:xf numFmtId="0" fontId="0" fillId="0" borderId="0" xfId="0" applyNumberFormat="1" applyFont="1" applyFill="1" applyBorder="1"/>
    <x:xf numFmtId="0" fontId="0" fillId="0" borderId="5" xfId="0" applyNumberFormat="1" applyFont="1" applyFill="1" applyBorder="1"/>
    <x:xf numFmtId="0" fontId="3" fillId="0" borderId="21" xfId="0" applyNumberFormat="1" applyFont="1" applyFill="1" applyBorder="1" applyAlignment="1">
      <x:alignment vertical="center" wrapText="1"/>
    </x:xf>
    <x:xf numFmtId="0" fontId="3" fillId="0" borderId="22" xfId="0" applyNumberFormat="1" applyFont="1" applyFill="1" applyBorder="1" applyAlignment="1">
      <x:alignment vertical="center" wrapText="1"/>
    </x:xf>
    <x:xf numFmtId="0" fontId="3" fillId="0" borderId="23" xfId="0" applyNumberFormat="1" applyFont="1" applyFill="1" applyBorder="1" applyAlignment="1">
      <x:alignment vertical="center" wrapText="1"/>
    </x:xf>
    <x:xf numFmtId="0" fontId="9" fillId="6" borderId="5" xfId="0" applyNumberFormat="1" applyFont="1" applyFill="1" applyBorder="1"/>
    <x:xf numFmtId="0" fontId="10" fillId="5" borderId="24" xfId="0" applyNumberFormat="1" applyFont="1" applyFill="1" applyBorder="1" applyAlignment="1">
      <x:alignment vertical="center" wrapText="1"/>
    </x:xf>
    <x:xf numFmtId="0" fontId="9" fillId="6" borderId="4" xfId="0" applyNumberFormat="1" applyFont="1" applyFill="1" applyBorder="1"/>
    <x:xf numFmtId="0" fontId="0" fillId="0" borderId="20" xfId="0" applyNumberFormat="1" applyFont="1" applyFill="1" applyBorder="1"/>
    <x:xf numFmtId="0" fontId="3" fillId="0" borderId="8" xfId="0" applyNumberFormat="1" applyFont="1" applyFill="1" applyBorder="1" applyAlignment="1">
      <x:alignment horizontal="center" vertical="center" wrapText="1"/>
    </x:xf>
    <x:xf numFmtId="0" fontId="3" fillId="0" borderId="11" xfId="0" applyNumberFormat="1" applyFont="1" applyFill="1" applyBorder="1" applyAlignment="1">
      <x:alignment horizontal="center" vertical="center" wrapText="1"/>
    </x:xf>
    <x:xf numFmtId="0" fontId="3" fillId="0" borderId="14" xfId="0" applyNumberFormat="1" applyFont="1" applyFill="1" applyBorder="1" applyAlignment="1">
      <x:alignment horizontal="center" vertical="center" wrapText="1"/>
    </x:xf>
    <x:xf numFmtId="0" fontId="3" fillId="0" borderId="9" xfId="0" applyNumberFormat="1" applyFont="1" applyFill="1" applyBorder="1" applyAlignment="1">
      <x:alignment horizontal="center" vertical="center" wrapText="1"/>
    </x:xf>
    <x:xf numFmtId="0" fontId="3" fillId="0" borderId="12" xfId="0" applyNumberFormat="1" applyFont="1" applyFill="1" applyBorder="1" applyAlignment="1">
      <x:alignment horizontal="center" vertical="center" wrapText="1"/>
    </x:xf>
    <x:xf numFmtId="0" fontId="3" fillId="0" borderId="15" xfId="0" applyNumberFormat="1" applyFont="1" applyFill="1" applyBorder="1" applyAlignment="1">
      <x:alignment horizontal="center" vertical="center" wrapText="1"/>
    </x:xf>
    <x:xf numFmtId="0" fontId="13" fillId="0" borderId="9" xfId="0" applyNumberFormat="1" applyFont="1" applyFill="1" applyBorder="1" applyAlignment="1">
      <x:alignment horizontal="right" vertical="center" wrapText="1"/>
    </x:xf>
    <x:xf numFmtId="0" fontId="13" fillId="0" borderId="12" xfId="0" applyNumberFormat="1" applyFont="1" applyFill="1" applyBorder="1" applyAlignment="1">
      <x:alignment horizontal="right" vertical="center" wrapText="1"/>
    </x:xf>
    <x:xf numFmtId="0" fontId="13" fillId="0" borderId="15" xfId="0" applyNumberFormat="1" applyFont="1" applyFill="1" applyBorder="1" applyAlignment="1">
      <x:alignment horizontal="right" vertical="center" wrapText="1"/>
    </x:xf>
    <x:xf numFmtId="201" fontId="13" fillId="0" borderId="9" xfId="0" applyNumberFormat="1" applyFont="1" applyFill="1" applyBorder="1" applyAlignment="1">
      <x:alignment horizontal="right" vertical="center" wrapText="1"/>
    </x:xf>
    <x:xf numFmtId="201" fontId="13" fillId="0" borderId="12" xfId="0" applyNumberFormat="1" applyFont="1" applyFill="1" applyBorder="1" applyAlignment="1">
      <x:alignment horizontal="right" vertical="center" wrapText="1"/>
    </x:xf>
    <x:xf numFmtId="201" fontId="13" fillId="0" borderId="15" xfId="0" applyNumberFormat="1" applyFont="1" applyFill="1" applyBorder="1" applyAlignment="1">
      <x:alignment horizontal="right" vertical="center" wrapText="1"/>
    </x:xf>
    <x:xf numFmtId="0" fontId="3" fillId="10" borderId="11" xfId="0" applyNumberFormat="1" applyFont="1" applyFill="1" applyBorder="1" applyAlignment="1">
      <x:alignment horizontal="center" vertical="center" wrapText="1"/>
    </x:xf>
    <x:xf numFmtId="0" fontId="3" fillId="10" borderId="12" xfId="0" applyNumberFormat="1" applyFont="1" applyFill="1" applyBorder="1" applyAlignment="1">
      <x:alignment horizontal="center" vertical="center" wrapText="1"/>
    </x:xf>
    <x:xf numFmtId="201" fontId="13" fillId="10" borderId="12" xfId="0" applyNumberFormat="1" applyFont="1" applyFill="1" applyBorder="1" applyAlignment="1">
      <x:alignment horizontal="right" vertical="center" wrapText="1"/>
    </x:xf>
    <x:xf numFmtId="200" fontId="3" fillId="10" borderId="12" xfId="0" applyNumberFormat="1" applyFont="1" applyFill="1" applyBorder="1" applyAlignment="1">
      <x:alignment horizontal="right" vertical="center" wrapText="1"/>
    </x:xf>
    <x:xf numFmtId="202" fontId="3" fillId="10" borderId="12" xfId="0" applyNumberFormat="1" applyFont="1" applyFill="1" applyBorder="1" applyAlignment="1">
      <x:alignment horizontal="right" vertical="center" wrapText="1"/>
    </x:xf>
    <x:xf numFmtId="0" fontId="3" fillId="10" borderId="13" xfId="0" applyNumberFormat="1" applyFont="1" applyFill="1" applyBorder="1" applyAlignment="1">
      <x:alignment vertical="center" wrapText="1"/>
    </x:xf>
    <x:xf numFmtId="0" fontId="4" fillId="7" borderId="1" xfId="0" applyNumberFormat="1" applyFont="1" applyFill="1" applyBorder="1" applyAlignment="1">
      <x:alignment vertical="center"/>
    </x:xf>
    <x:xf numFmtId="201" fontId="4" fillId="7" borderId="1" xfId="0" applyNumberFormat="1" applyFont="1" applyFill="1" applyBorder="1" applyAlignment="1">
      <x:alignment vertical="center"/>
    </x:xf>
    <x:xf numFmtId="202" fontId="4" fillId="7" borderId="1" xfId="0" applyNumberFormat="1" applyFont="1" applyFill="1" applyBorder="1" applyAlignment="1">
      <x:alignment vertical="center"/>
    </x:xf>
    <x:xf numFmtId="0" fontId="3" fillId="0" borderId="10" xfId="0" applyNumberFormat="1" applyFont="1" applyFill="1" applyBorder="1" applyAlignment="1">
      <x:alignment horizontal="left" vertical="center" wrapText="1"/>
    </x:xf>
    <x:xf numFmtId="0" fontId="3" fillId="0" borderId="13" xfId="0" applyNumberFormat="1" applyFont="1" applyFill="1" applyBorder="1" applyAlignment="1">
      <x:alignment horizontal="left" vertical="center" wrapText="1"/>
    </x:xf>
    <x:xf numFmtId="0" fontId="3" fillId="0" borderId="16" xfId="0" applyNumberFormat="1" applyFont="1" applyFill="1" applyBorder="1" applyAlignment="1">
      <x:alignment horizontal="left" vertical="center" wrapText="1"/>
    </x:xf>
    <x:xf numFmtId="0" fontId="3" fillId="10" borderId="13" xfId="0" applyNumberFormat="1" applyFont="1" applyFill="1" applyBorder="1" applyAlignment="1">
      <x:alignment horizontal="left" vertical="center" wrapText="1"/>
    </x:xf>
    <x:xf numFmtId="0" fontId="3" fillId="10" borderId="14" xfId="0" applyNumberFormat="1" applyFont="1" applyFill="1" applyBorder="1" applyAlignment="1">
      <x:alignment horizontal="center" vertical="center" wrapText="1"/>
    </x:xf>
    <x:xf numFmtId="0" fontId="3" fillId="10" borderId="15" xfId="0" applyNumberFormat="1" applyFont="1" applyFill="1" applyBorder="1" applyAlignment="1">
      <x:alignment horizontal="center" vertical="center" wrapText="1"/>
    </x:xf>
    <x:xf numFmtId="0" fontId="3" fillId="10" borderId="16" xfId="0" applyNumberFormat="1" applyFont="1" applyFill="1" applyBorder="1" applyAlignment="1">
      <x:alignment horizontal="left" vertical="center" wrapText="1"/>
    </x:xf>
    <x:xf numFmtId="0" fontId="13" fillId="0" borderId="10" xfId="0" applyNumberFormat="1" applyFont="1" applyFill="1" applyBorder="1" applyAlignment="1">
      <x:alignment vertical="center" wrapText="1"/>
    </x:xf>
    <x:xf numFmtId="0" fontId="13" fillId="0" borderId="13" xfId="0" applyNumberFormat="1" applyFont="1" applyFill="1" applyBorder="1" applyAlignment="1">
      <x:alignment vertical="center" wrapText="1"/>
    </x:xf>
    <x:xf numFmtId="0" fontId="13" fillId="0" borderId="16" xfId="0" applyNumberFormat="1" applyFont="1" applyFill="1" applyBorder="1" applyAlignment="1">
      <x:alignment vertical="center" wrapText="1"/>
    </x:xf>
    <x:xf numFmtId="202" fontId="13" fillId="0" borderId="10" xfId="0" applyNumberFormat="1" applyFont="1" applyFill="1" applyBorder="1" applyAlignment="1">
      <x:alignment vertical="center" wrapText="1"/>
    </x:xf>
    <x:xf numFmtId="202" fontId="13" fillId="0" borderId="13" xfId="0" applyNumberFormat="1" applyFont="1" applyFill="1" applyBorder="1" applyAlignment="1">
      <x:alignment vertical="center" wrapText="1"/>
    </x:xf>
    <x:xf numFmtId="203" fontId="13" fillId="0" borderId="16" xfId="0" applyNumberFormat="1" applyFont="1" applyFill="1" applyBorder="1" applyAlignment="1">
      <x:alignment vertical="center" wrapText="1"/>
    </x:xf>
    <x:xf numFmtId="0" fontId="3" fillId="3" borderId="8" xfId="0" applyNumberFormat="1" applyFont="1" applyFill="1" applyBorder="1" applyAlignment="1">
      <x:alignment vertical="center" wrapText="1"/>
    </x:xf>
    <x:xf numFmtId="0" fontId="3" fillId="3" borderId="11" xfId="0" applyNumberFormat="1" applyFont="1" applyFill="1" applyBorder="1" applyAlignment="1">
      <x:alignment vertical="center" wrapText="1"/>
    </x:xf>
    <x:xf numFmtId="0" fontId="3" fillId="3" borderId="14" xfId="0" applyNumberFormat="1" applyFont="1" applyFill="1" applyBorder="1" applyAlignment="1">
      <x:alignment vertical="center" wrapText="1"/>
    </x:xf>
    <x:xf numFmtId="0" fontId="14" fillId="0" borderId="10" xfId="0" applyNumberFormat="1" applyFont="1" applyFill="1" applyBorder="1" applyAlignment="1">
      <x:alignment vertical="center" wrapText="1"/>
    </x:xf>
    <x:xf numFmtId="0" fontId="14" fillId="0" borderId="13" xfId="0" applyNumberFormat="1" applyFont="1" applyFill="1" applyBorder="1" applyAlignment="1">
      <x:alignment vertical="center" wrapText="1"/>
    </x:xf>
    <x:xf numFmtId="0" fontId="14" fillId="0" borderId="16" xfId="0" applyNumberFormat="1" applyFont="1" applyFill="1" applyBorder="1" applyAlignment="1">
      <x:alignment vertical="center" wrapText="1"/>
    </x:xf>
    <x:xf numFmtId="201" fontId="3" fillId="0" borderId="12" xfId="0" applyNumberFormat="1" applyFont="1" applyFill="1" applyBorder="1" applyAlignment="1">
      <x:alignment vertical="center" wrapText="1"/>
    </x:xf>
    <x:xf numFmtId="204" fontId="3" fillId="0" borderId="12" xfId="0" applyNumberFormat="1" applyFont="1" applyFill="1" applyBorder="1" applyAlignment="1">
      <x:alignment vertical="center" wrapText="1"/>
    </x:xf>
    <x:xf numFmtId="204" fontId="3" fillId="0" borderId="15" xfId="0" applyNumberFormat="1" applyFont="1" applyFill="1" applyBorder="1" applyAlignment="1">
      <x:alignment vertical="center" wrapText="1"/>
    </x:xf>
    <x:xf numFmtId="0" fontId="15" fillId="6"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3" fillId="3" borderId="21" xfId="0" applyNumberFormat="1" applyFont="1" applyFill="1" applyBorder="1" applyAlignment="1">
      <x:alignment vertical="center" wrapText="1"/>
    </x:xf>
    <x:xf numFmtId="0" fontId="14" fillId="0" borderId="25" xfId="0" applyNumberFormat="1" applyFont="1" applyFill="1" applyBorder="1" applyAlignment="1">
      <x:alignment vertical="center" wrapText="1"/>
    </x:xf>
    <x:xf numFmtId="0" fontId="3" fillId="3" borderId="22" xfId="0" applyNumberFormat="1" applyFont="1" applyFill="1" applyBorder="1" applyAlignment="1">
      <x:alignment vertical="center" wrapText="1"/>
    </x:xf>
    <x:xf numFmtId="0" fontId="14" fillId="0" borderId="26" xfId="0" applyNumberFormat="1" applyFont="1" applyFill="1" applyBorder="1" applyAlignment="1">
      <x:alignment vertical="center" wrapText="1"/>
    </x:xf>
    <x:xf numFmtId="0" fontId="3" fillId="3" borderId="23" xfId="0" applyNumberFormat="1" applyFont="1" applyFill="1" applyBorder="1" applyAlignment="1">
      <x:alignment vertical="center" wrapText="1"/>
    </x:xf>
    <x:xf numFmtId="0" fontId="14" fillId="0" borderId="27" xfId="0" applyNumberFormat="1" applyFont="1" applyFill="1" applyBorder="1" applyAlignment="1">
      <x:alignment vertical="center" wrapText="1"/>
    </x:xf>
    <x:xf numFmtId="0" fontId="15" fillId="6" borderId="4" xfId="0" applyNumberFormat="1" applyFont="1" applyFill="1" applyBorder="1"/>
    <x:xf numFmtId="0" fontId="15" fillId="6" borderId="5" xfId="0" applyNumberFormat="1" applyFont="1" applyFill="1" applyBorder="1"/>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3" fillId="4" borderId="6" xfId="0" applyNumberFormat="1" applyFont="1" applyFill="1" applyBorder="1" applyAlignment="1">
      <x:alignment vertical="center" wrapText="1"/>
    </x:xf>
    <x:xf numFmtId="0" fontId="3" fillId="4" borderId="20" xfId="0" applyNumberFormat="1" applyFont="1" applyFill="1" applyBorder="1" applyAlignment="1">
      <x:alignment vertical="center" wrapText="1"/>
    </x:xf>
    <x:xf numFmtId="0" fontId="3" fillId="4" borderId="7"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c5d0a5df93d4557" /><Relationship Type="http://schemas.openxmlformats.org/officeDocument/2006/relationships/theme" Target="/xl/theme/theme1.xml" Id="Ree3ba5028df6401d" /><Relationship Type="http://schemas.openxmlformats.org/officeDocument/2006/relationships/sharedStrings" Target="/xl/sharedStrings.xml" Id="R659ee5f906ef4d46" /><Relationship Type="http://schemas.openxmlformats.org/officeDocument/2006/relationships/worksheet" Target="/xl/worksheets/sheet1.xml" Id="Rc8ca05b09fe24669" /><Relationship Type="http://schemas.openxmlformats.org/officeDocument/2006/relationships/worksheet" Target="/xl/worksheets/sheet2.xml" Id="R6be5c9f6e1094407" /><Relationship Type="http://schemas.openxmlformats.org/officeDocument/2006/relationships/worksheet" Target="/xl/worksheets/sheet3.xml" Id="Re2cfc2d1c8db4412" /><Relationship Type="http://schemas.openxmlformats.org/officeDocument/2006/relationships/worksheet" Target="/xl/worksheets/sheet4.xml" Id="Re30c6f462ee44929" /></Relationships>
</file>

<file path=xl/tables/table1.xml><?xml version="1.0" encoding="utf-8"?>
<x:table xmlns:x="http://schemas.openxmlformats.org/spreadsheetml/2006/main" id="1" name="ModuleQuoteTable" displayName="ModuleQuoteTable" ref="A5:I32" headerRowCount="1" totalsRowCount="0" totalsRowShown="0">
  <x:autoFilter ref="A5:I32"/>
  <x:tableColumns count="9">
    <x:tableColumn id="1" name="模块"/>
    <x:tableColumn id="2" name="业务域"/>
    <x:tableColumn id="3" name="对应需求序号"/>
    <x:tableColumn id="4" name="模块名称"/>
    <x:tableColumn id="5" name="复杂度"/>
    <x:tableColumn id="6" name="估算工作量（人天）"/>
    <x:tableColumn id="7" name="单价（元/人天）"/>
    <x:tableColumn id="8" name="模块未税金额（元）"/>
    <x:tableColumn id="9" name="估算依据"/>
  </x:tableColumns>
  <x:tableStyleInfo name="TableStyleMedium2" showFirstColumn="0" showLastColumn="0" showRowStripes="1" showColumnStripes="0"/>
</x:table>
</file>

<file path=xl/tables/table2.xml><?xml version="1.0" encoding="utf-8"?>
<x:table xmlns:x="http://schemas.openxmlformats.org/spreadsheetml/2006/main" id="2" name="RequirementsTable" displayName="RequirementsTable" ref="A4:F50" headerRowCount="1" totalsRowCount="0" totalsRowShown="0">
  <x:autoFilter ref="A4:F50"/>
  <x:tableColumns count="6">
    <x:tableColumn id="1" name="模块"/>
    <x:tableColumn id="2" name="对应需求序号"/>
    <x:tableColumn id="3" name="业务域"/>
    <x:tableColumn id="4" name="模块名称"/>
    <x:tableColumn id="5" name="分段"/>
    <x:tableColumn id="6" name="需求内容（逐项换行）"/>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f9554160cab48ba" /></Relationships>
</file>

<file path=xl/worksheets/_rels/sheet3.xml.rels>&#65279;<?xml version="1.0" encoding="utf-8"?><Relationships xmlns="http://schemas.openxmlformats.org/package/2006/relationships"><Relationship Type="http://schemas.openxmlformats.org/officeDocument/2006/relationships/table" Target="/xl/tables/table2.xml" Id="R8a48ba7a10a2462c" /></Relationships>
</file>

<file path=xl/worksheets/sheet1.xml><?xml version="1.0" encoding="utf-8"?>
<x:worksheet xmlns:x="http://schemas.openxmlformats.org/spreadsheetml/2006/main">
  <x:sheetViews>
    <x:sheetView showGridLines="0" workbookViewId="0"/>
  </x:sheetViews>
  <x:sheetFormatPr defaultRowHeight="15"/>
  <x:cols>
    <x:col min="1" max="1" width="19" hidden="0" customWidth="1"/>
    <x:col min="2" max="2" width="16" hidden="0" customWidth="1"/>
    <x:col min="3" max="3" width="16" hidden="0" customWidth="1"/>
    <x:col min="4" max="4" width="18" hidden="0" customWidth="1"/>
    <x:col min="5" max="5" width="19" hidden="0" customWidth="1"/>
    <x:col min="6" max="6" width="16" hidden="0" customWidth="1"/>
    <x:col min="7" max="7" width="16" hidden="0" customWidth="1"/>
    <x:col min="8" max="8" width="18" hidden="0" customWidth="1"/>
  </x:cols>
  <x:sheetData>
    <x:row r="1" ht="34" customHeight="1">
      <x:c r="A1" s="171" t="str">
        <x:v>广西项目软件系统开发报价估算</x:v>
      </x:c>
      <x:c r="B1" s="172" t="str">
        <x:v>广西项目软件系统开发报价估算</x:v>
      </x:c>
      <x:c r="C1" s="172" t="str">
        <x:v>广西项目软件系统开发报价估算</x:v>
      </x:c>
      <x:c r="D1" s="172" t="str">
        <x:v>广西项目软件系统开发报价估算</x:v>
      </x:c>
      <x:c r="E1" s="172" t="str">
        <x:v>广西项目软件系统开发报价估算</x:v>
      </x:c>
      <x:c r="F1" s="172" t="str">
        <x:v>广西项目软件系统开发报价估算</x:v>
      </x:c>
      <x:c r="G1" s="172" t="str">
        <x:v>广西项目软件系统开发报价估算</x:v>
      </x:c>
      <x:c r="H1" s="173" t="str">
        <x:v>广西项目软件系统开发报价估算</x:v>
      </x:c>
    </x:row>
    <x:row r="2" ht="26" customHeight="1">
      <x:c r="A2" s="174" t="str">
        <x:v>基于当前需求清单编制｜版本：V1.0｜报价日期：2026-08-19｜单位：人民币元（含税总价另行列示）</x:v>
      </x:c>
      <x:c r="B2" s="9" t="str">
        <x:v>基于当前需求清单编制｜版本：V1.0｜报价日期：2026-08-19｜单位：人民币元（含税总价另行列示）</x:v>
      </x:c>
      <x:c r="C2" s="9" t="str">
        <x:v>基于当前需求清单编制｜版本：V1.0｜报价日期：2026-08-19｜单位：人民币元（含税总价另行列示）</x:v>
      </x:c>
      <x:c r="D2" s="9" t="str">
        <x:v>基于当前需求清单编制｜版本：V1.0｜报价日期：2026-08-19｜单位：人民币元（含税总价另行列示）</x:v>
      </x:c>
      <x:c r="E2" s="9" t="str">
        <x:v>基于当前需求清单编制｜版本：V1.0｜报价日期：2026-08-19｜单位：人民币元（含税总价另行列示）</x:v>
      </x:c>
      <x:c r="F2" s="9" t="str">
        <x:v>基于当前需求清单编制｜版本：V1.0｜报价日期：2026-08-19｜单位：人民币元（含税总价另行列示）</x:v>
      </x:c>
      <x:c r="G2" s="9" t="str">
        <x:v>基于当前需求清单编制｜版本：V1.0｜报价日期：2026-08-19｜单位：人民币元（含税总价另行列示）</x:v>
      </x:c>
      <x:c r="H2" s="175" t="str">
        <x:v>基于当前需求清单编制｜版本：V1.0｜报价日期：2026-08-19｜单位：人民币元（含税总价另行列示）</x:v>
      </x:c>
    </x:row>
    <x:row r="3">
      <x:c r="A3" s="176"/>
      <x:c r="B3" s="177"/>
      <x:c r="C3" s="177"/>
      <x:c r="D3" s="177"/>
      <x:c r="E3" s="177"/>
      <x:c r="F3" s="177"/>
      <x:c r="G3" s="177"/>
      <x:c r="H3" s="178"/>
    </x:row>
    <x:row r="4">
      <x:c r="A4" s="13" t="str">
        <x:v>报价对象</x:v>
      </x:c>
      <x:c r="B4" s="13" t="str">
        <x:v>报价对象</x:v>
      </x:c>
      <x:c r="C4" s="12" t="str">
        <x:v>广西项目（具体名称待补充）</x:v>
      </x:c>
      <x:c r="D4" s="12" t="str">
        <x:v>广西项目（具体名称待补充）</x:v>
      </x:c>
      <x:c r="E4" s="12" t="str">
        <x:v>报价单位</x:v>
      </x:c>
      <x:c r="F4" s="12" t="str">
        <x:v>报价单位</x:v>
      </x:c>
      <x:c r="G4" s="12" t="str">
        <x:v>待补充</x:v>
      </x:c>
      <x:c r="H4" s="12" t="str">
        <x:v>待补充</x:v>
      </x:c>
    </x:row>
    <x:row r="5">
      <x:c r="A5" s="176"/>
      <x:c r="B5" s="177"/>
      <x:c r="C5" s="177"/>
      <x:c r="D5" s="177"/>
      <x:c r="E5" s="177"/>
      <x:c r="F5" s="177"/>
      <x:c r="G5" s="177"/>
      <x:c r="H5" s="178"/>
    </x:row>
    <x:row r="6">
      <x:c r="A6" s="26" t="str">
        <x:v>模块数量</x:v>
      </x:c>
      <x:c r="B6" s="27" t="str">
        <x:v>模块数量</x:v>
      </x:c>
      <x:c r="C6" s="26" t="str">
        <x:v>估算工作量</x:v>
      </x:c>
      <x:c r="D6" s="27" t="str">
        <x:v>估算工作量</x:v>
      </x:c>
      <x:c r="E6" s="26" t="str">
        <x:v>软件模块费</x:v>
      </x:c>
      <x:c r="F6" s="27" t="str">
        <x:v>软件模块费</x:v>
      </x:c>
      <x:c r="G6" s="51" t="str">
        <x:v>含税总价</x:v>
      </x:c>
      <x:c r="H6" s="52" t="str">
        <x:v>含税总价</x:v>
      </x:c>
    </x:row>
    <x:row r="7">
      <x:c r="A7" s="33" t="n">
        <x:f>COUNTA('模块报价'!$A$6:$A$32)</x:f>
        <x:v>27</x:v>
      </x:c>
      <x:c r="B7" s="29"/>
      <x:c r="C7" s="34" t="n">
        <x:f>SUM('模块报价'!$F$6:$F$32)</x:f>
        <x:v>1501.5</x:v>
      </x:c>
      <x:c r="D7" s="29"/>
      <x:c r="E7" s="36" t="n">
        <x:f>SUM('模块报价'!$H$6:$H$32)</x:f>
        <x:v>1801800</x:v>
      </x:c>
      <x:c r="F7" s="29"/>
      <x:c r="G7" s="58" t="n">
        <x:f>$B$24</x:f>
        <x:v>2121908</x:v>
      </x:c>
      <x:c r="H7" s="54"/>
    </x:row>
    <x:row r="8">
      <x:c r="A8" s="30" t="str">
        <x:v>个</x:v>
      </x:c>
      <x:c r="B8" s="31" t="str">
        <x:v>个</x:v>
      </x:c>
      <x:c r="C8" s="30" t="str">
        <x:v>人天</x:v>
      </x:c>
      <x:c r="D8" s="31" t="str">
        <x:v>人天</x:v>
      </x:c>
      <x:c r="E8" s="30" t="str">
        <x:v>元</x:v>
      </x:c>
      <x:c r="F8" s="31" t="str">
        <x:v>元</x:v>
      </x:c>
      <x:c r="G8" s="55" t="str">
        <x:v>元</x:v>
      </x:c>
      <x:c r="H8" s="56" t="str">
        <x:v>元</x:v>
      </x:c>
    </x:row>
    <x:row r="9">
      <x:c r="A9" s="176"/>
      <x:c r="B9" s="177"/>
      <x:c r="C9" s="177"/>
      <x:c r="D9" s="177"/>
      <x:c r="E9" s="177"/>
      <x:c r="F9" s="177"/>
      <x:c r="G9" s="177"/>
      <x:c r="H9" s="178"/>
    </x:row>
    <x:row r="10">
      <x:c r="A10" s="176"/>
      <x:c r="B10" s="177"/>
      <x:c r="C10" s="177"/>
      <x:c r="D10" s="177"/>
      <x:c r="E10" s="177"/>
      <x:c r="F10" s="177"/>
      <x:c r="G10" s="177"/>
      <x:c r="H10" s="178"/>
    </x:row>
    <x:row r="11" ht="30" customHeight="1">
      <x:c r="A11" s="64" t="str">
        <x:v>费用构成</x:v>
      </x:c>
      <x:c r="B11" s="64" t="str">
        <x:v>数量/基数</x:v>
      </x:c>
      <x:c r="C11" s="64" t="str">
        <x:v>单价/税率</x:v>
      </x:c>
      <x:c r="D11" s="64" t="str">
        <x:v>未税金额（元）</x:v>
      </x:c>
      <x:c r="E11" s="177"/>
      <x:c r="F11" s="177"/>
      <x:c r="G11" s="177"/>
      <x:c r="H11" s="178"/>
    </x:row>
    <x:row r="12">
      <x:c r="A12" s="179" t="str">
        <x:v>软件模块开发＋测试</x:v>
      </x:c>
      <x:c r="B12" s="83" t="n">
        <x:f>SUM('模块报价'!$F$6:$F$32)</x:f>
        <x:v>1501.5</x:v>
      </x:c>
      <x:c r="C12" s="86" t="n">
        <x:f>'参数与校验'!$B$5</x:f>
        <x:v>1200</x:v>
      </x:c>
      <x:c r="D12" s="87" t="n">
        <x:f>SUM('模块报价'!$H$6:$H$32)</x:f>
        <x:v>1801800</x:v>
      </x:c>
      <x:c r="E12" s="177"/>
      <x:c r="F12" s="177"/>
      <x:c r="G12" s="177"/>
      <x:c r="H12" s="178"/>
    </x:row>
    <x:row r="13">
      <x:c r="A13" s="180" t="str">
        <x:v>需求调研</x:v>
      </x:c>
      <x:c r="B13" s="84" t="n">
        <x:v>1</x:v>
      </x:c>
      <x:c r="C13" s="88" t="n">
        <x:f>'参数与校验'!$B$6</x:f>
        <x:v>50000</x:v>
      </x:c>
      <x:c r="D13" s="89" t="n">
        <x:f>B13*C13</x:f>
        <x:v>50000</x:v>
      </x:c>
      <x:c r="E13" s="177"/>
      <x:c r="F13" s="177"/>
      <x:c r="G13" s="177"/>
      <x:c r="H13" s="178"/>
    </x:row>
    <x:row r="14">
      <x:c r="A14" s="180" t="str">
        <x:v>交付实施差旅人工</x:v>
      </x:c>
      <x:c r="B14" s="84" t="n">
        <x:v>1</x:v>
      </x:c>
      <x:c r="C14" s="88" t="n">
        <x:f>'参数与校验'!$B$7</x:f>
        <x:v>100000</x:v>
      </x:c>
      <x:c r="D14" s="89" t="n">
        <x:f>B14*C14</x:f>
        <x:v>100000</x:v>
      </x:c>
      <x:c r="E14" s="177"/>
      <x:c r="F14" s="177"/>
      <x:c r="G14" s="177"/>
      <x:c r="H14" s="178"/>
    </x:row>
    <x:row r="15">
      <x:c r="A15" s="180" t="str">
        <x:v>配合第三方软件测试</x:v>
      </x:c>
      <x:c r="B15" s="84" t="n">
        <x:v>1</x:v>
      </x:c>
      <x:c r="C15" s="88" t="n">
        <x:f>'参数与校验'!$B$8</x:f>
        <x:v>30000</x:v>
      </x:c>
      <x:c r="D15" s="89" t="n">
        <x:f>B15*C15</x:f>
        <x:v>30000</x:v>
      </x:c>
      <x:c r="E15" s="177"/>
      <x:c r="F15" s="177"/>
      <x:c r="G15" s="177"/>
      <x:c r="H15" s="178"/>
    </x:row>
    <x:row r="16">
      <x:c r="A16" s="181" t="str">
        <x:v>配合软件著作权办理</x:v>
      </x:c>
      <x:c r="B16" s="85" t="n">
        <x:v>1</x:v>
      </x:c>
      <x:c r="C16" s="90" t="n">
        <x:f>'参数与校验'!$B$9</x:f>
        <x:v>20000</x:v>
      </x:c>
      <x:c r="D16" s="91" t="n">
        <x:f>B16*C16</x:f>
        <x:v>20000</x:v>
      </x:c>
      <x:c r="E16" s="177"/>
      <x:c r="F16" s="177"/>
      <x:c r="G16" s="177"/>
      <x:c r="H16" s="178"/>
    </x:row>
    <x:row r="17">
      <x:c r="A17" s="94" t="str">
        <x:v>未税项目合计</x:v>
      </x:c>
      <x:c r="B17" s="94" t="str">
        <x:v>未税项目合计</x:v>
      </x:c>
      <x:c r="C17" s="94" t="str">
        <x:v>未税项目合计</x:v>
      </x:c>
      <x:c r="D17" s="95" t="n">
        <x:f>SUM(D12:D16)</x:f>
        <x:v>2001800</x:v>
      </x:c>
      <x:c r="E17" s="177"/>
      <x:c r="F17" s="177"/>
      <x:c r="G17" s="177"/>
      <x:c r="H17" s="178"/>
    </x:row>
    <x:row r="18">
      <x:c r="A18" s="176"/>
      <x:c r="B18" s="177"/>
      <x:c r="C18" s="177"/>
      <x:c r="D18" s="177"/>
      <x:c r="E18" s="177"/>
      <x:c r="F18" s="177"/>
      <x:c r="G18" s="177"/>
      <x:c r="H18" s="178"/>
    </x:row>
    <x:row r="19">
      <x:c r="A19" s="176"/>
      <x:c r="B19" s="177"/>
      <x:c r="C19" s="177"/>
      <x:c r="D19" s="177"/>
      <x:c r="E19" s="177"/>
      <x:c r="F19" s="177"/>
      <x:c r="G19" s="177"/>
      <x:c r="H19" s="178"/>
    </x:row>
    <x:row r="20" ht="30" customHeight="1">
      <x:c r="A20" s="64" t="str">
        <x:v>价税汇总</x:v>
      </x:c>
      <x:c r="B20" s="64" t="str">
        <x:v>金额（元）</x:v>
      </x:c>
      <x:c r="C20" s="177"/>
      <x:c r="D20" s="60" t="str">
        <x:v>报价说明</x:v>
      </x:c>
      <x:c r="E20" s="60" t="str">
        <x:v>报价说明</x:v>
      </x:c>
      <x:c r="F20" s="60" t="str">
        <x:v>报价说明</x:v>
      </x:c>
      <x:c r="G20" s="60" t="str">
        <x:v>报价说明</x:v>
      </x:c>
      <x:c r="H20" s="182" t="str">
        <x:v>报价说明</x:v>
      </x:c>
    </x:row>
    <x:row r="21">
      <x:c r="A21" s="179" t="str">
        <x:v>软件开发测试费</x:v>
      </x:c>
      <x:c r="B21" s="96" t="n">
        <x:f>D12</x:f>
        <x:v>1801800</x:v>
      </x:c>
      <x:c r="C21" s="177"/>
      <x:c r="D21" s="124" t="str">
        <x:v>• 本报价以当前需求清单为估算基础，建议在需求调研和SRS确认后形成最终合同价。
• 软件模块按估算工作量和1,200元/人天计算。
• 需求调研5万元；交付实施差旅人工10万元。
• 配合第三方软件测试3万元；配合软件著作权办理2万元。
• 所有上述费用统一按6%增值税计税；不含硬件采购及第三方商业授权。</x:v>
      </x:c>
      <x:c r="E21" s="125" t="str">
        <x:v>• 本报价以当前需求清单为估算基础，建议在需求调研和SRS确认后形成最终合同价。
• 软件模块按估算工作量和1,200元/人天计算。
• 需求调研5万元；交付实施差旅人工10万元。
• 配合第三方软件测试3万元；配合软件著作权办理2万元。
• 所有上述费用统一按6%增值税计税；不含硬件采购及第三方商业授权。</x:v>
      </x:c>
      <x:c r="F21" s="125" t="str">
        <x:v>• 本报价以当前需求清单为估算基础，建议在需求调研和SRS确认后形成最终合同价。
• 软件模块按估算工作量和1,200元/人天计算。
• 需求调研5万元；交付实施差旅人工10万元。
• 配合第三方软件测试3万元；配合软件著作权办理2万元。
• 所有上述费用统一按6%增值税计税；不含硬件采购及第三方商业授权。</x:v>
      </x:c>
      <x:c r="G21" s="125" t="str">
        <x:v>• 本报价以当前需求清单为估算基础，建议在需求调研和SRS确认后形成最终合同价。
• 软件模块按估算工作量和1,200元/人天计算。
• 需求调研5万元；交付实施差旅人工10万元。
• 配合第三方软件测试3万元；配合软件著作权办理2万元。
• 所有上述费用统一按6%增值税计税；不含硬件采购及第三方商业授权。</x:v>
      </x:c>
      <x:c r="H21" s="126" t="str">
        <x:v>• 本报价以当前需求清单为估算基础，建议在需求调研和SRS确认后形成最终合同价。
• 软件模块按估算工作量和1,200元/人天计算。
• 需求调研5万元；交付实施差旅人工10万元。
• 配合第三方软件测试3万元；配合软件著作权办理2万元。
• 所有上述费用统一按6%增值税计税；不含硬件采购及第三方商业授权。</x:v>
      </x:c>
    </x:row>
    <x:row r="22">
      <x:c r="A22" s="180" t="str">
        <x:v>未税总额</x:v>
      </x:c>
      <x:c r="B22" s="97" t="n">
        <x:f>D17</x:f>
        <x:v>2001800</x:v>
      </x:c>
      <x:c r="C22" s="177"/>
      <x:c r="D22" s="127" t="str">
        <x:v>• 本报价以当前需求清单为估算基础，建议在需求调研和SRS确认后形成最终合同价。
• 软件模块按估算工作量和1,200元/人天计算。
• 需求调研5万元；交付实施差旅人工10万元。
• 配合第三方软件测试3万元；配合软件著作权办理2万元。
• 所有上述费用统一按6%增值税计税；不含硬件采购及第三方商业授权。</x:v>
      </x:c>
      <x:c r="E22" s="128" t="str">
        <x:v>• 本报价以当前需求清单为估算基础，建议在需求调研和SRS确认后形成最终合同价。
• 软件模块按估算工作量和1,200元/人天计算。
• 需求调研5万元；交付实施差旅人工10万元。
• 配合第三方软件测试3万元；配合软件著作权办理2万元。
• 所有上述费用统一按6%增值税计税；不含硬件采购及第三方商业授权。</x:v>
      </x:c>
      <x:c r="F22" s="128" t="str">
        <x:v>• 本报价以当前需求清单为估算基础，建议在需求调研和SRS确认后形成最终合同价。
• 软件模块按估算工作量和1,200元/人天计算。
• 需求调研5万元；交付实施差旅人工10万元。
• 配合第三方软件测试3万元；配合软件著作权办理2万元。
• 所有上述费用统一按6%增值税计税；不含硬件采购及第三方商业授权。</x:v>
      </x:c>
      <x:c r="G22" s="128" t="str">
        <x:v>• 本报价以当前需求清单为估算基础，建议在需求调研和SRS确认后形成最终合同价。
• 软件模块按估算工作量和1,200元/人天计算。
• 需求调研5万元；交付实施差旅人工10万元。
• 配合第三方软件测试3万元；配合软件著作权办理2万元。
• 所有上述费用统一按6%增值税计税；不含硬件采购及第三方商业授权。</x:v>
      </x:c>
      <x:c r="H22" s="129" t="str">
        <x:v>• 本报价以当前需求清单为估算基础，建议在需求调研和SRS确认后形成最终合同价。
• 软件模块按估算工作量和1,200元/人天计算。
• 需求调研5万元；交付实施差旅人工10万元。
• 配合第三方软件测试3万元；配合软件著作权办理2万元。
• 所有上述费用统一按6%增值税计税；不含硬件采购及第三方商业授权。</x:v>
      </x:c>
    </x:row>
    <x:row r="23">
      <x:c r="A23" s="180" t="str">
        <x:v>增值税（6%）</x:v>
      </x:c>
      <x:c r="B23" s="97" t="n">
        <x:f>B22*'参数与校验'!$B$10</x:f>
        <x:v>120108</x:v>
      </x:c>
      <x:c r="C23" s="177"/>
      <x:c r="D23" s="127" t="str">
        <x:v>• 本报价以当前需求清单为估算基础，建议在需求调研和SRS确认后形成最终合同价。
• 软件模块按估算工作量和1,200元/人天计算。
• 需求调研5万元；交付实施差旅人工10万元。
• 配合第三方软件测试3万元；配合软件著作权办理2万元。
• 所有上述费用统一按6%增值税计税；不含硬件采购及第三方商业授权。</x:v>
      </x:c>
      <x:c r="E23" s="128" t="str">
        <x:v>• 本报价以当前需求清单为估算基础，建议在需求调研和SRS确认后形成最终合同价。
• 软件模块按估算工作量和1,200元/人天计算。
• 需求调研5万元；交付实施差旅人工10万元。
• 配合第三方软件测试3万元；配合软件著作权办理2万元。
• 所有上述费用统一按6%增值税计税；不含硬件采购及第三方商业授权。</x:v>
      </x:c>
      <x:c r="F23" s="128" t="str">
        <x:v>• 本报价以当前需求清单为估算基础，建议在需求调研和SRS确认后形成最终合同价。
• 软件模块按估算工作量和1,200元/人天计算。
• 需求调研5万元；交付实施差旅人工10万元。
• 配合第三方软件测试3万元；配合软件著作权办理2万元。
• 所有上述费用统一按6%增值税计税；不含硬件采购及第三方商业授权。</x:v>
      </x:c>
      <x:c r="G23" s="128" t="str">
        <x:v>• 本报价以当前需求清单为估算基础，建议在需求调研和SRS确认后形成最终合同价。
• 软件模块按估算工作量和1,200元/人天计算。
• 需求调研5万元；交付实施差旅人工10万元。
• 配合第三方软件测试3万元；配合软件著作权办理2万元。
• 所有上述费用统一按6%增值税计税；不含硬件采购及第三方商业授权。</x:v>
      </x:c>
      <x:c r="H23" s="129" t="str">
        <x:v>• 本报价以当前需求清单为估算基础，建议在需求调研和SRS确认后形成最终合同价。
• 软件模块按估算工作量和1,200元/人天计算。
• 需求调研5万元；交付实施差旅人工10万元。
• 配合第三方软件测试3万元；配合软件著作权办理2万元。
• 所有上述费用统一按6%增值税计税；不含硬件采购及第三方商业授权。</x:v>
      </x:c>
    </x:row>
    <x:row r="24">
      <x:c r="A24" s="183" t="str">
        <x:v>价税合计</x:v>
      </x:c>
      <x:c r="B24" s="104" t="n">
        <x:f>B22+B23</x:f>
        <x:v>2121908</x:v>
      </x:c>
      <x:c r="C24" s="177"/>
      <x:c r="D24" s="130" t="str">
        <x:v>• 本报价以当前需求清单为估算基础，建议在需求调研和SRS确认后形成最终合同价。
• 软件模块按估算工作量和1,200元/人天计算。
• 需求调研5万元；交付实施差旅人工10万元。
• 配合第三方软件测试3万元；配合软件著作权办理2万元。
• 所有上述费用统一按6%增值税计税；不含硬件采购及第三方商业授权。</x:v>
      </x:c>
      <x:c r="E24" s="131" t="str">
        <x:v>• 本报价以当前需求清单为估算基础，建议在需求调研和SRS确认后形成最终合同价。
• 软件模块按估算工作量和1,200元/人天计算。
• 需求调研5万元；交付实施差旅人工10万元。
• 配合第三方软件测试3万元；配合软件著作权办理2万元。
• 所有上述费用统一按6%增值税计税；不含硬件采购及第三方商业授权。</x:v>
      </x:c>
      <x:c r="F24" s="131" t="str">
        <x:v>• 本报价以当前需求清单为估算基础，建议在需求调研和SRS确认后形成最终合同价。
• 软件模块按估算工作量和1,200元/人天计算。
• 需求调研5万元；交付实施差旅人工10万元。
• 配合第三方软件测试3万元；配合软件著作权办理2万元。
• 所有上述费用统一按6%增值税计税；不含硬件采购及第三方商业授权。</x:v>
      </x:c>
      <x:c r="G24" s="131" t="str">
        <x:v>• 本报价以当前需求清单为估算基础，建议在需求调研和SRS确认后形成最终合同价。
• 软件模块按估算工作量和1,200元/人天计算。
• 需求调研5万元；交付实施差旅人工10万元。
• 配合第三方软件测试3万元；配合软件著作权办理2万元。
• 所有上述费用统一按6%增值税计税；不含硬件采购及第三方商业授权。</x:v>
      </x:c>
      <x:c r="H24" s="132" t="str">
        <x:v>• 本报价以当前需求清单为估算基础，建议在需求调研和SRS确认后形成最终合同价。
• 软件模块按估算工作量和1,200元/人天计算。
• 需求调研5万元；交付实施差旅人工10万元。
• 配合第三方软件测试3万元；配合软件著作权办理2万元。
• 所有上述费用统一按6%增值税计税；不含硬件采购及第三方商业授权。</x:v>
      </x:c>
    </x:row>
    <x:row r="25">
      <x:c r="A25" s="176"/>
      <x:c r="B25" s="177"/>
      <x:c r="C25" s="177"/>
      <x:c r="D25" s="177"/>
      <x:c r="E25" s="177"/>
      <x:c r="F25" s="177"/>
      <x:c r="G25" s="177"/>
      <x:c r="H25" s="178"/>
    </x:row>
    <x:row r="26">
      <x:c r="A26" s="176"/>
      <x:c r="B26" s="177"/>
      <x:c r="C26" s="177"/>
      <x:c r="D26" s="177"/>
      <x:c r="E26" s="177"/>
      <x:c r="F26" s="177"/>
      <x:c r="G26" s="177"/>
      <x:c r="H26" s="178"/>
    </x:row>
    <x:row r="27">
      <x:c r="A27" s="184" t="str">
        <x:v>分类人天概览</x:v>
      </x:c>
      <x:c r="B27" s="60" t="str">
        <x:v>分类人天概览</x:v>
      </x:c>
      <x:c r="C27" s="60" t="str">
        <x:v>分类人天概览</x:v>
      </x:c>
      <x:c r="D27" s="60" t="str">
        <x:v>分类人天概览</x:v>
      </x:c>
      <x:c r="E27" s="60" t="str">
        <x:v>分类人天概览</x:v>
      </x:c>
      <x:c r="F27" s="60" t="str">
        <x:v>分类人天概览</x:v>
      </x:c>
      <x:c r="G27" s="60" t="str">
        <x:v>分类人天概览</x:v>
      </x:c>
      <x:c r="H27" s="182" t="str">
        <x:v>分类人天概览</x:v>
      </x:c>
    </x:row>
    <x:row r="28" ht="30" customHeight="1">
      <x:c r="A28" s="64" t="str">
        <x:v>业务域</x:v>
      </x:c>
      <x:c r="B28" s="64" t="str">
        <x:v>模块数</x:v>
      </x:c>
      <x:c r="C28" s="64" t="str">
        <x:v>建议人天</x:v>
      </x:c>
      <x:c r="D28" s="177"/>
      <x:c r="E28" s="64" t="str">
        <x:v>关键风险提示</x:v>
      </x:c>
      <x:c r="F28" s="64" t="str">
        <x:v>关键风险提示</x:v>
      </x:c>
      <x:c r="G28" s="64" t="str">
        <x:v>关键风险提示</x:v>
      </x:c>
      <x:c r="H28" s="64" t="str">
        <x:v>关键风险提示</x:v>
      </x:c>
    </x:row>
    <x:row r="29">
      <x:c r="A29" s="179" t="str">
        <x:v>车辆管理与调度</x:v>
      </x:c>
      <x:c r="B29" s="139" t="n">
        <x:v>6</x:v>
      </x:c>
      <x:c r="C29" s="140" t="n">
        <x:v>313.3</x:v>
      </x:c>
      <x:c r="D29" s="177"/>
      <x:c r="E29" s="162" t="str">
        <x:v>1. 模块22、23涉及门禁、道闸、RFID、人脸、大屏和视频等设备/平台接口，协议不明确会显著影响联调成本。
2. 模块9—11涉及Word/PDF/OFD生成与转换，应明确模板数量、版式精度和转换组件授权。
3. 模块24、25涉及多单位数据、离线运行和恢复同步，应在SRS中明确数据量、冲突策略、加密和审计要求。
4. 模块26、27的国产操作系统版本、设备型号和应用商店/签名方式需在开发前锁定。
5. 若新增等保、密评、信创测评、数据迁移清洗或驻场周期，应另行核价。</x:v>
      </x:c>
      <x:c r="F29" s="163" t="str">
        <x:v>1. 模块22、23涉及门禁、道闸、RFID、人脸、大屏和视频等设备/平台接口，协议不明确会显著影响联调成本。
2. 模块9—11涉及Word/PDF/OFD生成与转换，应明确模板数量、版式精度和转换组件授权。
3. 模块24、25涉及多单位数据、离线运行和恢复同步，应在SRS中明确数据量、冲突策略、加密和审计要求。
4. 模块26、27的国产操作系统版本、设备型号和应用商店/签名方式需在开发前锁定。
5. 若新增等保、密评、信创测评、数据迁移清洗或驻场周期，应另行核价。</x:v>
      </x:c>
      <x:c r="G29" s="163" t="str">
        <x:v>1. 模块22、23涉及门禁、道闸、RFID、人脸、大屏和视频等设备/平台接口，协议不明确会显著影响联调成本。
2. 模块9—11涉及Word/PDF/OFD生成与转换，应明确模板数量、版式精度和转换组件授权。
3. 模块24、25涉及多单位数据、离线运行和恢复同步，应在SRS中明确数据量、冲突策略、加密和审计要求。
4. 模块26、27的国产操作系统版本、设备型号和应用商店/签名方式需在开发前锁定。
5. 若新增等保、密评、信创测评、数据迁移清洗或驻场周期，应另行核价。</x:v>
      </x:c>
      <x:c r="H29" s="164" t="str">
        <x:v>1. 模块22、23涉及门禁、道闸、RFID、人脸、大屏和视频等设备/平台接口，协议不明确会显著影响联调成本。
2. 模块9—11涉及Word/PDF/OFD生成与转换，应明确模板数量、版式精度和转换组件授权。
3. 模块24、25涉及多单位数据、离线运行和恢复同步，应在SRS中明确数据量、冲突策略、加密和审计要求。
4. 模块26、27的国产操作系统版本、设备型号和应用商店/签名方式需在开发前锁定。
5. 若新增等保、密评、信创测评、数据迁移清洗或驻场周期，应另行核价。</x:v>
      </x:c>
    </x:row>
    <x:row r="30">
      <x:c r="A30" s="180" t="str">
        <x:v>人员管理</x:v>
      </x:c>
      <x:c r="B30" s="84" t="n">
        <x:v>2</x:v>
      </x:c>
      <x:c r="C30" s="141" t="n">
        <x:v>118.3</x:v>
      </x:c>
      <x:c r="D30" s="177"/>
      <x:c r="E30" s="165" t="str">
        <x:v>1. 模块22、23涉及门禁、道闸、RFID、人脸、大屏和视频等设备/平台接口，协议不明确会显著影响联调成本。
2. 模块9—11涉及Word/PDF/OFD生成与转换，应明确模板数量、版式精度和转换组件授权。
3. 模块24、25涉及多单位数据、离线运行和恢复同步，应在SRS中明确数据量、冲突策略、加密和审计要求。
4. 模块26、27的国产操作系统版本、设备型号和应用商店/签名方式需在开发前锁定。
5. 若新增等保、密评、信创测评、数据迁移清洗或驻场周期，应另行核价。</x:v>
      </x:c>
      <x:c r="F30" s="166" t="str">
        <x:v>1. 模块22、23涉及门禁、道闸、RFID、人脸、大屏和视频等设备/平台接口，协议不明确会显著影响联调成本。
2. 模块9—11涉及Word/PDF/OFD生成与转换，应明确模板数量、版式精度和转换组件授权。
3. 模块24、25涉及多单位数据、离线运行和恢复同步，应在SRS中明确数据量、冲突策略、加密和审计要求。
4. 模块26、27的国产操作系统版本、设备型号和应用商店/签名方式需在开发前锁定。
5. 若新增等保、密评、信创测评、数据迁移清洗或驻场周期，应另行核价。</x:v>
      </x:c>
      <x:c r="G30" s="166" t="str">
        <x:v>1. 模块22、23涉及门禁、道闸、RFID、人脸、大屏和视频等设备/平台接口，协议不明确会显著影响联调成本。
2. 模块9—11涉及Word/PDF/OFD生成与转换，应明确模板数量、版式精度和转换组件授权。
3. 模块24、25涉及多单位数据、离线运行和恢复同步，应在SRS中明确数据量、冲突策略、加密和审计要求。
4. 模块26、27的国产操作系统版本、设备型号和应用商店/签名方式需在开发前锁定。
5. 若新增等保、密评、信创测评、数据迁移清洗或驻场周期，应另行核价。</x:v>
      </x:c>
      <x:c r="H30" s="167" t="str">
        <x:v>1. 模块22、23涉及门禁、道闸、RFID、人脸、大屏和视频等设备/平台接口，协议不明确会显著影响联调成本。
2. 模块9—11涉及Word/PDF/OFD生成与转换，应明确模板数量、版式精度和转换组件授权。
3. 模块24、25涉及多单位数据、离线运行和恢复同步，应在SRS中明确数据量、冲突策略、加密和审计要求。
4. 模块26、27的国产操作系统版本、设备型号和应用商店/签名方式需在开发前锁定。
5. 若新增等保、密评、信创测评、数据迁移清洗或驻场周期，应另行核价。</x:v>
      </x:c>
    </x:row>
    <x:row r="31">
      <x:c r="A31" s="180" t="str">
        <x:v>方案与计划</x:v>
      </x:c>
      <x:c r="B31" s="84" t="n">
        <x:v>3</x:v>
      </x:c>
      <x:c r="C31" s="141" t="n">
        <x:v>205.4</x:v>
      </x:c>
      <x:c r="D31" s="177"/>
      <x:c r="E31" s="165" t="str">
        <x:v>1. 模块22、23涉及门禁、道闸、RFID、人脸、大屏和视频等设备/平台接口，协议不明确会显著影响联调成本。
2. 模块9—11涉及Word/PDF/OFD生成与转换，应明确模板数量、版式精度和转换组件授权。
3. 模块24、25涉及多单位数据、离线运行和恢复同步，应在SRS中明确数据量、冲突策略、加密和审计要求。
4. 模块26、27的国产操作系统版本、设备型号和应用商店/签名方式需在开发前锁定。
5. 若新增等保、密评、信创测评、数据迁移清洗或驻场周期，应另行核价。</x:v>
      </x:c>
      <x:c r="F31" s="166" t="str">
        <x:v>1. 模块22、23涉及门禁、道闸、RFID、人脸、大屏和视频等设备/平台接口，协议不明确会显著影响联调成本。
2. 模块9—11涉及Word/PDF/OFD生成与转换，应明确模板数量、版式精度和转换组件授权。
3. 模块24、25涉及多单位数据、离线运行和恢复同步，应在SRS中明确数据量、冲突策略、加密和审计要求。
4. 模块26、27的国产操作系统版本、设备型号和应用商店/签名方式需在开发前锁定。
5. 若新增等保、密评、信创测评、数据迁移清洗或驻场周期，应另行核价。</x:v>
      </x:c>
      <x:c r="G31" s="166" t="str">
        <x:v>1. 模块22、23涉及门禁、道闸、RFID、人脸、大屏和视频等设备/平台接口，协议不明确会显著影响联调成本。
2. 模块9—11涉及Word/PDF/OFD生成与转换，应明确模板数量、版式精度和转换组件授权。
3. 模块24、25涉及多单位数据、离线运行和恢复同步，应在SRS中明确数据量、冲突策略、加密和审计要求。
4. 模块26、27的国产操作系统版本、设备型号和应用商店/签名方式需在开发前锁定。
5. 若新增等保、密评、信创测评、数据迁移清洗或驻场周期，应另行核价。</x:v>
      </x:c>
      <x:c r="H31" s="167" t="str">
        <x:v>1. 模块22、23涉及门禁、道闸、RFID、人脸、大屏和视频等设备/平台接口，协议不明确会显著影响联调成本。
2. 模块9—11涉及Word/PDF/OFD生成与转换，应明确模板数量、版式精度和转换组件授权。
3. 模块24、25涉及多单位数据、离线运行和恢复同步，应在SRS中明确数据量、冲突策略、加密和审计要求。
4. 模块26、27的国产操作系统版本、设备型号和应用商店/签名方式需在开发前锁定。
5. 若新增等保、密评、信创测评、数据迁移清洗或驻场周期，应另行核价。</x:v>
      </x:c>
    </x:row>
    <x:row r="32">
      <x:c r="A32" s="180" t="str">
        <x:v>教育与训练</x:v>
      </x:c>
      <x:c r="B32" s="84" t="n">
        <x:v>4</x:v>
      </x:c>
      <x:c r="C32" s="141" t="n">
        <x:v>119.6</x:v>
      </x:c>
      <x:c r="D32" s="177"/>
      <x:c r="E32" s="165" t="str">
        <x:v>1. 模块22、23涉及门禁、道闸、RFID、人脸、大屏和视频等设备/平台接口，协议不明确会显著影响联调成本。
2. 模块9—11涉及Word/PDF/OFD生成与转换，应明确模板数量、版式精度和转换组件授权。
3. 模块24、25涉及多单位数据、离线运行和恢复同步，应在SRS中明确数据量、冲突策略、加密和审计要求。
4. 模块26、27的国产操作系统版本、设备型号和应用商店/签名方式需在开发前锁定。
5. 若新增等保、密评、信创测评、数据迁移清洗或驻场周期，应另行核价。</x:v>
      </x:c>
      <x:c r="F32" s="166" t="str">
        <x:v>1. 模块22、23涉及门禁、道闸、RFID、人脸、大屏和视频等设备/平台接口，协议不明确会显著影响联调成本。
2. 模块9—11涉及Word/PDF/OFD生成与转换，应明确模板数量、版式精度和转换组件授权。
3. 模块24、25涉及多单位数据、离线运行和恢复同步，应在SRS中明确数据量、冲突策略、加密和审计要求。
4. 模块26、27的国产操作系统版本、设备型号和应用商店/签名方式需在开发前锁定。
5. 若新增等保、密评、信创测评、数据迁移清洗或驻场周期，应另行核价。</x:v>
      </x:c>
      <x:c r="G32" s="166" t="str">
        <x:v>1. 模块22、23涉及门禁、道闸、RFID、人脸、大屏和视频等设备/平台接口，协议不明确会显著影响联调成本。
2. 模块9—11涉及Word/PDF/OFD生成与转换，应明确模板数量、版式精度和转换组件授权。
3. 模块24、25涉及多单位数据、离线运行和恢复同步，应在SRS中明确数据量、冲突策略、加密和审计要求。
4. 模块26、27的国产操作系统版本、设备型号和应用商店/签名方式需在开发前锁定。
5. 若新增等保、密评、信创测评、数据迁移清洗或驻场周期，应另行核价。</x:v>
      </x:c>
      <x:c r="H32" s="167" t="str">
        <x:v>1. 模块22、23涉及门禁、道闸、RFID、人脸、大屏和视频等设备/平台接口，协议不明确会显著影响联调成本。
2. 模块9—11涉及Word/PDF/OFD生成与转换，应明确模板数量、版式精度和转换组件授权。
3. 模块24、25涉及多单位数据、离线运行和恢复同步，应在SRS中明确数据量、冲突策略、加密和审计要求。
4. 模块26、27的国产操作系统版本、设备型号和应用商店/签名方式需在开发前锁定。
5. 若新增等保、密评、信创测评、数据迁移清洗或驻场周期，应另行核价。</x:v>
      </x:c>
    </x:row>
    <x:row r="33">
      <x:c r="A33" s="180" t="str">
        <x:v>器材与库存</x:v>
      </x:c>
      <x:c r="B33" s="84" t="n">
        <x:v>6</x:v>
      </x:c>
      <x:c r="C33" s="141" t="n">
        <x:v>158.6</x:v>
      </x:c>
      <x:c r="D33" s="177"/>
      <x:c r="E33" s="165" t="str">
        <x:v>1. 模块22、23涉及门禁、道闸、RFID、人脸、大屏和视频等设备/平台接口，协议不明确会显著影响联调成本。
2. 模块9—11涉及Word/PDF/OFD生成与转换，应明确模板数量、版式精度和转换组件授权。
3. 模块24、25涉及多单位数据、离线运行和恢复同步，应在SRS中明确数据量、冲突策略、加密和审计要求。
4. 模块26、27的国产操作系统版本、设备型号和应用商店/签名方式需在开发前锁定。
5. 若新增等保、密评、信创测评、数据迁移清洗或驻场周期，应另行核价。</x:v>
      </x:c>
      <x:c r="F33" s="166" t="str">
        <x:v>1. 模块22、23涉及门禁、道闸、RFID、人脸、大屏和视频等设备/平台接口，协议不明确会显著影响联调成本。
2. 模块9—11涉及Word/PDF/OFD生成与转换，应明确模板数量、版式精度和转换组件授权。
3. 模块24、25涉及多单位数据、离线运行和恢复同步，应在SRS中明确数据量、冲突策略、加密和审计要求。
4. 模块26、27的国产操作系统版本、设备型号和应用商店/签名方式需在开发前锁定。
5. 若新增等保、密评、信创测评、数据迁移清洗或驻场周期，应另行核价。</x:v>
      </x:c>
      <x:c r="G33" s="166" t="str">
        <x:v>1. 模块22、23涉及门禁、道闸、RFID、人脸、大屏和视频等设备/平台接口，协议不明确会显著影响联调成本。
2. 模块9—11涉及Word/PDF/OFD生成与转换，应明确模板数量、版式精度和转换组件授权。
3. 模块24、25涉及多单位数据、离线运行和恢复同步，应在SRS中明确数据量、冲突策略、加密和审计要求。
4. 模块26、27的国产操作系统版本、设备型号和应用商店/签名方式需在开发前锁定。
5. 若新增等保、密评、信创测评、数据迁移清洗或驻场周期，应另行核价。</x:v>
      </x:c>
      <x:c r="H33" s="167" t="str">
        <x:v>1. 模块22、23涉及门禁、道闸、RFID、人脸、大屏和视频等设备/平台接口，协议不明确会显著影响联调成本。
2. 模块9—11涉及Word/PDF/OFD生成与转换，应明确模板数量、版式精度和转换组件授权。
3. 模块24、25涉及多单位数据、离线运行和恢复同步，应在SRS中明确数据量、冲突策略、加密和审计要求。
4. 模块26、27的国产操作系统版本、设备型号和应用商店/签名方式需在开发前锁定。
5. 若新增等保、密评、信创测评、数据迁移清洗或驻场周期，应另行核价。</x:v>
      </x:c>
    </x:row>
    <x:row r="34">
      <x:c r="A34" s="180" t="str">
        <x:v>场区与态势</x:v>
      </x:c>
      <x:c r="B34" s="84" t="n">
        <x:v>2</x:v>
      </x:c>
      <x:c r="C34" s="141" t="n">
        <x:v>163.8</x:v>
      </x:c>
      <x:c r="D34" s="177"/>
      <x:c r="E34" s="165" t="str">
        <x:v>1. 模块22、23涉及门禁、道闸、RFID、人脸、大屏和视频等设备/平台接口，协议不明确会显著影响联调成本。
2. 模块9—11涉及Word/PDF/OFD生成与转换，应明确模板数量、版式精度和转换组件授权。
3. 模块24、25涉及多单位数据、离线运行和恢复同步，应在SRS中明确数据量、冲突策略、加密和审计要求。
4. 模块26、27的国产操作系统版本、设备型号和应用商店/签名方式需在开发前锁定。
5. 若新增等保、密评、信创测评、数据迁移清洗或驻场周期，应另行核价。</x:v>
      </x:c>
      <x:c r="F34" s="166" t="str">
        <x:v>1. 模块22、23涉及门禁、道闸、RFID、人脸、大屏和视频等设备/平台接口，协议不明确会显著影响联调成本。
2. 模块9—11涉及Word/PDF/OFD生成与转换，应明确模板数量、版式精度和转换组件授权。
3. 模块24、25涉及多单位数据、离线运行和恢复同步，应在SRS中明确数据量、冲突策略、加密和审计要求。
4. 模块26、27的国产操作系统版本、设备型号和应用商店/签名方式需在开发前锁定。
5. 若新增等保、密评、信创测评、数据迁移清洗或驻场周期，应另行核价。</x:v>
      </x:c>
      <x:c r="G34" s="166" t="str">
        <x:v>1. 模块22、23涉及门禁、道闸、RFID、人脸、大屏和视频等设备/平台接口，协议不明确会显著影响联调成本。
2. 模块9—11涉及Word/PDF/OFD生成与转换，应明确模板数量、版式精度和转换组件授权。
3. 模块24、25涉及多单位数据、离线运行和恢复同步，应在SRS中明确数据量、冲突策略、加密和审计要求。
4. 模块26、27的国产操作系统版本、设备型号和应用商店/签名方式需在开发前锁定。
5. 若新增等保、密评、信创测评、数据迁移清洗或驻场周期，应另行核价。</x:v>
      </x:c>
      <x:c r="H34" s="167" t="str">
        <x:v>1. 模块22、23涉及门禁、道闸、RFID、人脸、大屏和视频等设备/平台接口，协议不明确会显著影响联调成本。
2. 模块9—11涉及Word/PDF/OFD生成与转换，应明确模板数量、版式精度和转换组件授权。
3. 模块24、25涉及多单位数据、离线运行和恢复同步，应在SRS中明确数据量、冲突策略、加密和审计要求。
4. 模块26、27的国产操作系统版本、设备型号和应用商店/签名方式需在开发前锁定。
5. 若新增等保、密评、信创测评、数据迁移清洗或驻场周期，应另行核价。</x:v>
      </x:c>
    </x:row>
    <x:row r="35">
      <x:c r="A35" s="180" t="str">
        <x:v>数据与集成</x:v>
      </x:c>
      <x:c r="B35" s="84" t="n">
        <x:v>2</x:v>
      </x:c>
      <x:c r="C35" s="141" t="n">
        <x:v>234</x:v>
      </x:c>
      <x:c r="D35" s="177"/>
      <x:c r="E35" s="165" t="str">
        <x:v>1. 模块22、23涉及门禁、道闸、RFID、人脸、大屏和视频等设备/平台接口，协议不明确会显著影响联调成本。
2. 模块9—11涉及Word/PDF/OFD生成与转换，应明确模板数量、版式精度和转换组件授权。
3. 模块24、25涉及多单位数据、离线运行和恢复同步，应在SRS中明确数据量、冲突策略、加密和审计要求。
4. 模块26、27的国产操作系统版本、设备型号和应用商店/签名方式需在开发前锁定。
5. 若新增等保、密评、信创测评、数据迁移清洗或驻场周期，应另行核价。</x:v>
      </x:c>
      <x:c r="F35" s="166" t="str">
        <x:v>1. 模块22、23涉及门禁、道闸、RFID、人脸、大屏和视频等设备/平台接口，协议不明确会显著影响联调成本。
2. 模块9—11涉及Word/PDF/OFD生成与转换，应明确模板数量、版式精度和转换组件授权。
3. 模块24、25涉及多单位数据、离线运行和恢复同步，应在SRS中明确数据量、冲突策略、加密和审计要求。
4. 模块26、27的国产操作系统版本、设备型号和应用商店/签名方式需在开发前锁定。
5. 若新增等保、密评、信创测评、数据迁移清洗或驻场周期，应另行核价。</x:v>
      </x:c>
      <x:c r="G35" s="166" t="str">
        <x:v>1. 模块22、23涉及门禁、道闸、RFID、人脸、大屏和视频等设备/平台接口，协议不明确会显著影响联调成本。
2. 模块9—11涉及Word/PDF/OFD生成与转换，应明确模板数量、版式精度和转换组件授权。
3. 模块24、25涉及多单位数据、离线运行和恢复同步，应在SRS中明确数据量、冲突策略、加密和审计要求。
4. 模块26、27的国产操作系统版本、设备型号和应用商店/签名方式需在开发前锁定。
5. 若新增等保、密评、信创测评、数据迁移清洗或驻场周期，应另行核价。</x:v>
      </x:c>
      <x:c r="H35" s="167" t="str">
        <x:v>1. 模块22、23涉及门禁、道闸、RFID、人脸、大屏和视频等设备/平台接口，协议不明确会显著影响联调成本。
2. 模块9—11涉及Word/PDF/OFD生成与转换，应明确模板数量、版式精度和转换组件授权。
3. 模块24、25涉及多单位数据、离线运行和恢复同步，应在SRS中明确数据量、冲突策略、加密和审计要求。
4. 模块26、27的国产操作系统版本、设备型号和应用商店/签名方式需在开发前锁定。
5. 若新增等保、密评、信创测评、数据迁移清洗或驻场周期，应另行核价。</x:v>
      </x:c>
    </x:row>
    <x:row r="36">
      <x:c r="A36" s="181" t="str">
        <x:v>移动端</x:v>
      </x:c>
      <x:c r="B36" s="85" t="n">
        <x:v>2</x:v>
      </x:c>
      <x:c r="C36" s="142" t="n">
        <x:v>188.5</x:v>
      </x:c>
      <x:c r="D36" s="185"/>
      <x:c r="E36" s="168" t="str">
        <x:v>1. 模块22、23涉及门禁、道闸、RFID、人脸、大屏和视频等设备/平台接口，协议不明确会显著影响联调成本。
2. 模块9—11涉及Word/PDF/OFD生成与转换，应明确模板数量、版式精度和转换组件授权。
3. 模块24、25涉及多单位数据、离线运行和恢复同步，应在SRS中明确数据量、冲突策略、加密和审计要求。
4. 模块26、27的国产操作系统版本、设备型号和应用商店/签名方式需在开发前锁定。
5. 若新增等保、密评、信创测评、数据迁移清洗或驻场周期，应另行核价。</x:v>
      </x:c>
      <x:c r="F36" s="169" t="str">
        <x:v>1. 模块22、23涉及门禁、道闸、RFID、人脸、大屏和视频等设备/平台接口，协议不明确会显著影响联调成本。
2. 模块9—11涉及Word/PDF/OFD生成与转换，应明确模板数量、版式精度和转换组件授权。
3. 模块24、25涉及多单位数据、离线运行和恢复同步，应在SRS中明确数据量、冲突策略、加密和审计要求。
4. 模块26、27的国产操作系统版本、设备型号和应用商店/签名方式需在开发前锁定。
5. 若新增等保、密评、信创测评、数据迁移清洗或驻场周期，应另行核价。</x:v>
      </x:c>
      <x:c r="G36" s="169" t="str">
        <x:v>1. 模块22、23涉及门禁、道闸、RFID、人脸、大屏和视频等设备/平台接口，协议不明确会显著影响联调成本。
2. 模块9—11涉及Word/PDF/OFD生成与转换，应明确模板数量、版式精度和转换组件授权。
3. 模块24、25涉及多单位数据、离线运行和恢复同步，应在SRS中明确数据量、冲突策略、加密和审计要求。
4. 模块26、27的国产操作系统版本、设备型号和应用商店/签名方式需在开发前锁定。
5. 若新增等保、密评、信创测评、数据迁移清洗或驻场周期，应另行核价。</x:v>
      </x:c>
      <x:c r="H36" s="170" t="str">
        <x:v>1. 模块22、23涉及门禁、道闸、RFID、人脸、大屏和视频等设备/平台接口，协议不明确会显著影响联调成本。
2. 模块9—11涉及Word/PDF/OFD生成与转换，应明确模板数量、版式精度和转换组件授权。
3. 模块24、25涉及多单位数据、离线运行和恢复同步，应在SRS中明确数据量、冲突策略、加密和审计要求。
4. 模块26、27的国产操作系统版本、设备型号和应用商店/签名方式需在开发前锁定。
5. 若新增等保、密评、信创测评、数据迁移清洗或驻场周期，应另行核价。</x:v>
      </x:c>
    </x:row>
  </x:sheetData>
  <x:mergeCells>
    <x:mergeCell ref="A1:H1"/>
    <x:mergeCell ref="A2:H2"/>
    <x:mergeCell ref="A4:B4"/>
    <x:mergeCell ref="C4:D4"/>
    <x:mergeCell ref="E4:F4"/>
    <x:mergeCell ref="G4:H4"/>
    <x:mergeCell ref="A6:B6"/>
    <x:mergeCell ref="A7:B7"/>
    <x:mergeCell ref="A8:B8"/>
    <x:mergeCell ref="C6:D6"/>
    <x:mergeCell ref="C7:D7"/>
    <x:mergeCell ref="C8:D8"/>
    <x:mergeCell ref="E6:F6"/>
    <x:mergeCell ref="E7:F7"/>
    <x:mergeCell ref="E8:F8"/>
    <x:mergeCell ref="G6:H6"/>
    <x:mergeCell ref="G7:H7"/>
    <x:mergeCell ref="G8:H8"/>
    <x:mergeCell ref="A17:C17"/>
    <x:mergeCell ref="D20:H20"/>
    <x:mergeCell ref="D21:H24"/>
    <x:mergeCell ref="A27:H27"/>
    <x:mergeCell ref="E28:H28"/>
    <x:mergeCell ref="E29:H36"/>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8" hidden="0" customWidth="1"/>
    <x:col min="2" max="2" width="18" hidden="0" customWidth="1"/>
    <x:col min="3" max="3" width="15" hidden="0" customWidth="1"/>
    <x:col min="4" max="4" width="24" hidden="0" customWidth="1"/>
    <x:col min="5" max="5" width="10" hidden="0" customWidth="1"/>
    <x:col min="6" max="6" width="16" hidden="0" customWidth="1"/>
    <x:col min="7" max="7" width="16" hidden="0" customWidth="1"/>
    <x:col min="8" max="8" width="19" hidden="0" customWidth="1"/>
    <x:col min="9" max="9" width="52" hidden="0" customWidth="1"/>
  </x:cols>
  <x:sheetData>
    <x:row r="1" ht="34" customHeight="1">
      <x:c r="A1" s="4" t="str">
        <x:v>软件模块估算工作量与未税报价明细</x:v>
      </x:c>
      <x:c r="B1" s="4" t="str">
        <x:v>软件模块估算工作量与未税报价明细</x:v>
      </x:c>
      <x:c r="C1" s="4" t="str">
        <x:v>软件模块估算工作量与未税报价明细</x:v>
      </x:c>
      <x:c r="D1" s="4" t="str">
        <x:v>软件模块估算工作量与未税报价明细</x:v>
      </x:c>
      <x:c r="E1" s="4" t="str">
        <x:v>软件模块估算工作量与未税报价明细</x:v>
      </x:c>
      <x:c r="F1" s="4" t="str">
        <x:v>软件模块估算工作量与未税报价明细</x:v>
      </x:c>
      <x:c r="G1" s="4" t="str">
        <x:v>软件模块估算工作量与未税报价明细</x:v>
      </x:c>
      <x:c r="H1" s="4" t="str">
        <x:v>软件模块估算工作量与未税报价明细</x:v>
      </x:c>
      <x:c r="I1" s="4" t="str">
        <x:v>软件模块估算工作量与未税报价明细</x:v>
      </x:c>
    </x:row>
    <x:row r="2" ht="26" customHeight="1">
      <x:c r="A2" s="9" t="str">
        <x:v>工作量已按模块复杂度、业务链数量、接口/设备联动、国产化适配及离线同步风险综合估算。蓝色人天可按最终SRS调整。 </x:v>
      </x:c>
      <x:c r="B2" s="9" t="str">
        <x:v>工作量已按模块复杂度、业务链数量、接口/设备联动、国产化适配及离线同步风险综合估算。蓝色人天可按最终SRS调整。 </x:v>
      </x:c>
      <x:c r="C2" s="9" t="str">
        <x:v>工作量已按模块复杂度、业务链数量、接口/设备联动、国产化适配及离线同步风险综合估算。蓝色人天可按最终SRS调整。 </x:v>
      </x:c>
      <x:c r="D2" s="9" t="str">
        <x:v>工作量已按模块复杂度、业务链数量、接口/设备联动、国产化适配及离线同步风险综合估算。蓝色人天可按最终SRS调整。 </x:v>
      </x:c>
      <x:c r="E2" s="9" t="str">
        <x:v>工作量已按模块复杂度、业务链数量、接口/设备联动、国产化适配及离线同步风险综合估算。蓝色人天可按最终SRS调整。 </x:v>
      </x:c>
      <x:c r="F2" s="9" t="str">
        <x:v>工作量已按模块复杂度、业务链数量、接口/设备联动、国产化适配及离线同步风险综合估算。蓝色人天可按最终SRS调整。 </x:v>
      </x:c>
      <x:c r="G2" s="9" t="str">
        <x:v>工作量已按模块复杂度、业务链数量、接口/设备联动、国产化适配及离线同步风险综合估算。蓝色人天可按最终SRS调整。 </x:v>
      </x:c>
      <x:c r="H2" s="9" t="str">
        <x:v>工作量已按模块复杂度、业务链数量、接口/设备联动、国产化适配及离线同步风险综合估算。蓝色人天可按最终SRS调整。 </x:v>
      </x:c>
      <x:c r="I2" s="9" t="str">
        <x:v>工作量已按模块复杂度、业务链数量、接口/设备联动、国产化适配及离线同步风险综合估算。蓝色人天可按最终SRS调整。 </x:v>
      </x:c>
    </x:row>
    <x:row r="4" ht="28" customHeight="1">
      <x:c r="A4" s="119" t="str">
        <x:v>金额口径：模块未税金额＝估算工作量 × 1,200 元/人天。需求调研、交付实施、第三方测试配合、软著办理配合及增值税在总览中另计。</x:v>
      </x:c>
      <x:c r="B4" s="119" t="str">
        <x:v>金额口径：模块未税金额＝估算工作量 × 1,200 元/人天。需求调研、交付实施、第三方测试配合、软著办理配合及增值税在总览中另计。</x:v>
      </x:c>
      <x:c r="C4" s="119" t="str">
        <x:v>金额口径：模块未税金额＝估算工作量 × 1,200 元/人天。需求调研、交付实施、第三方测试配合、软著办理配合及增值税在总览中另计。</x:v>
      </x:c>
      <x:c r="D4" s="119" t="str">
        <x:v>金额口径：模块未税金额＝估算工作量 × 1,200 元/人天。需求调研、交付实施、第三方测试配合、软著办理配合及增值税在总览中另计。</x:v>
      </x:c>
      <x:c r="E4" s="119" t="str">
        <x:v>金额口径：模块未税金额＝估算工作量 × 1,200 元/人天。需求调研、交付实施、第三方测试配合、软著办理配合及增值税在总览中另计。</x:v>
      </x:c>
      <x:c r="F4" s="119" t="str">
        <x:v>金额口径：模块未税金额＝估算工作量 × 1,200 元/人天。需求调研、交付实施、第三方测试配合、软著办理配合及增值税在总览中另计。</x:v>
      </x:c>
      <x:c r="G4" s="119" t="str">
        <x:v>金额口径：模块未税金额＝估算工作量 × 1,200 元/人天。需求调研、交付实施、第三方测试配合、软著办理配合及增值税在总览中另计。</x:v>
      </x:c>
      <x:c r="H4" s="119" t="str">
        <x:v>金额口径：模块未税金额＝估算工作量 × 1,200 元/人天。需求调研、交付实施、第三方测试配合、软著办理配合及增值税在总览中另计。</x:v>
      </x:c>
      <x:c r="I4" s="119" t="str">
        <x:v>金额口径：模块未税金额＝估算工作量 × 1,200 元/人天。需求调研、交付实施、第三方测试配合、软著办理配合及增值税在总览中另计。</x:v>
      </x:c>
    </x:row>
    <x:row r="5" ht="30" customHeight="1">
      <x:c r="A5" s="64" t="str">
        <x:v>模块</x:v>
      </x:c>
      <x:c r="B5" s="64" t="str">
        <x:v>业务域</x:v>
      </x:c>
      <x:c r="C5" s="64" t="str">
        <x:v>对应需求序号</x:v>
      </x:c>
      <x:c r="D5" s="64" t="str">
        <x:v>模块名称</x:v>
      </x:c>
      <x:c r="E5" s="64" t="str">
        <x:v>复杂度</x:v>
      </x:c>
      <x:c r="F5" s="64" t="str">
        <x:v>估算工作量（人天）</x:v>
      </x:c>
      <x:c r="G5" s="64" t="str">
        <x:v>单价（元/人天）</x:v>
      </x:c>
      <x:c r="H5" s="64" t="str">
        <x:v>模块未税金额（元）</x:v>
      </x:c>
      <x:c r="I5" s="64" t="str">
        <x:v>估算依据</x:v>
      </x:c>
    </x:row>
    <x:row r="6" ht="36" customHeight="1">
      <x:c r="A6" s="186" t="n">
        <x:v>1</x:v>
      </x:c>
      <x:c r="B6" s="189" t="str">
        <x:v>车辆管理与调度</x:v>
      </x:c>
      <x:c r="C6" s="189" t="str">
        <x:v>5</x:v>
      </x:c>
      <x:c r="D6" s="189" t="str">
        <x:v>车辆信息管理</x:v>
      </x:c>
      <x:c r="E6" s="189" t="str">
        <x:v>中</x:v>
      </x:c>
      <x:c r="F6" s="195" t="n">
        <x:v>41.6</x:v>
      </x:c>
      <x:c r="G6" s="139" t="n">
        <x:f>'参数与校验'!$B$5</x:f>
        <x:v>1200</x:v>
      </x:c>
      <x:c r="H6" s="86" t="n">
        <x:f>F6*G6</x:f>
        <x:v>49920</x:v>
      </x:c>
      <x:c r="I6" s="70" t="str">
        <x:v>多字段车辆档案、动态状态、图片及里程信息，含基础增删改查和数据校验</x:v>
      </x:c>
    </x:row>
    <x:row r="7" ht="36" customHeight="1">
      <x:c r="A7" s="198" t="n">
        <x:v>2</x:v>
      </x:c>
      <x:c r="B7" s="199" t="str">
        <x:v>车辆管理与调度</x:v>
      </x:c>
      <x:c r="C7" s="199" t="str">
        <x:v>6</x:v>
      </x:c>
      <x:c r="D7" s="199" t="str">
        <x:v>车辆运行状况管理</x:v>
      </x:c>
      <x:c r="E7" s="199" t="str">
        <x:v>高</x:v>
      </x:c>
      <x:c r="F7" s="200" t="n">
        <x:v>75.4</x:v>
      </x:c>
      <x:c r="G7" s="201" t="n">
        <x:f>'参数与校验'!$B$5</x:f>
        <x:v>1200</x:v>
      </x:c>
      <x:c r="H7" s="202" t="n">
        <x:f>F7*G7</x:f>
        <x:v>90480</x:v>
      </x:c>
      <x:c r="I7" s="203" t="str">
        <x:v>事故、年审、维修、保养、保险、器材等多业务链，含到期提醒、统计和历史追溯</x:v>
      </x:c>
    </x:row>
    <x:row r="8" ht="36" customHeight="1">
      <x:c r="A8" s="187" t="n">
        <x:v>3</x:v>
      </x:c>
      <x:c r="B8" s="190" t="str">
        <x:v>车辆管理与调度</x:v>
      </x:c>
      <x:c r="C8" s="190" t="str">
        <x:v>7</x:v>
      </x:c>
      <x:c r="D8" s="190" t="str">
        <x:v>车辆自动派遣</x:v>
      </x:c>
      <x:c r="E8" s="190" t="str">
        <x:v>高</x:v>
      </x:c>
      <x:c r="F8" s="196" t="n">
        <x:v>71.5</x:v>
      </x:c>
      <x:c r="G8" s="84" t="n">
        <x:f>'参数与校验'!$B$5</x:f>
        <x:v>1200</x:v>
      </x:c>
      <x:c r="H8" s="88" t="n">
        <x:f>F8*G8</x:f>
        <x:v>85800</x:v>
      </x:c>
      <x:c r="I8" s="73" t="str">
        <x:v>审批派遣、派车单打印、车牌门禁联动、车位事件和大屏状态同步</x:v>
      </x:c>
    </x:row>
    <x:row r="9" ht="36" customHeight="1">
      <x:c r="A9" s="198" t="n">
        <x:v>4</x:v>
      </x:c>
      <x:c r="B9" s="199" t="str">
        <x:v>车辆管理与调度</x:v>
      </x:c>
      <x:c r="C9" s="199" t="str">
        <x:v>8</x:v>
      </x:c>
      <x:c r="D9" s="199" t="str">
        <x:v>车闸控制管理</x:v>
      </x:c>
      <x:c r="E9" s="199" t="str">
        <x:v>中高</x:v>
      </x:c>
      <x:c r="F9" s="200" t="n">
        <x:v>49.4</x:v>
      </x:c>
      <x:c r="G9" s="201" t="n">
        <x:f>'参数与校验'!$B$5</x:f>
        <x:v>1200</x:v>
      </x:c>
      <x:c r="H9" s="202" t="n">
        <x:f>F9*G9</x:f>
        <x:v>59280</x:v>
      </x:c>
      <x:c r="I9" s="203" t="str">
        <x:v>道闸主动控制、临时回场判断、操作留痕及大屏实时状态联动</x:v>
      </x:c>
    </x:row>
    <x:row r="10" ht="36" customHeight="1">
      <x:c r="A10" s="187" t="n">
        <x:v>5</x:v>
      </x:c>
      <x:c r="B10" s="190" t="str">
        <x:v>车辆管理与调度</x:v>
      </x:c>
      <x:c r="C10" s="190" t="str">
        <x:v>9</x:v>
      </x:c>
      <x:c r="D10" s="190" t="str">
        <x:v>油耗分析统计</x:v>
      </x:c>
      <x:c r="E10" s="190" t="str">
        <x:v>中</x:v>
      </x:c>
      <x:c r="F10" s="196" t="n">
        <x:v>36.4</x:v>
      </x:c>
      <x:c r="G10" s="84" t="n">
        <x:f>'参数与校验'!$B$5</x:f>
        <x:v>1200</x:v>
      </x:c>
      <x:c r="H10" s="88" t="n">
        <x:f>F10*G10</x:f>
        <x:v>43680</x:v>
      </x:c>
      <x:c r="I10" s="73" t="str">
        <x:v>运行数据采集/录入、里程与百公里油耗计算、周期统计和趋势展示</x:v>
      </x:c>
    </x:row>
    <x:row r="11" ht="36" customHeight="1">
      <x:c r="A11" s="198" t="n">
        <x:v>6</x:v>
      </x:c>
      <x:c r="B11" s="199" t="str">
        <x:v>车辆管理与调度</x:v>
      </x:c>
      <x:c r="C11" s="199" t="str">
        <x:v>10</x:v>
      </x:c>
      <x:c r="D11" s="199" t="str">
        <x:v>辅助决策调度排班</x:v>
      </x:c>
      <x:c r="E11" s="199" t="str">
        <x:v>中</x:v>
      </x:c>
      <x:c r="F11" s="200" t="n">
        <x:v>39</x:v>
      </x:c>
      <x:c r="G11" s="201" t="n">
        <x:f>'参数与校验'!$B$5</x:f>
        <x:v>1200</x:v>
      </x:c>
      <x:c r="H11" s="202" t="n">
        <x:f>F11*G11</x:f>
        <x:v>46800</x:v>
      </x:c>
      <x:c r="I11" s="203" t="str">
        <x:v>按车辆状态、技术状况和用车需求生成排班，含规则校验及制式导出</x:v>
      </x:c>
    </x:row>
    <x:row r="12" ht="36" customHeight="1">
      <x:c r="A12" s="187" t="n">
        <x:v>7</x:v>
      </x:c>
      <x:c r="B12" s="190" t="str">
        <x:v>人员管理</x:v>
      </x:c>
      <x:c r="C12" s="190" t="str">
        <x:v>11</x:v>
      </x:c>
      <x:c r="D12" s="190" t="str">
        <x:v>人员信息管理</x:v>
      </x:c>
      <x:c r="E12" s="190" t="str">
        <x:v>中</x:v>
      </x:c>
      <x:c r="F12" s="196" t="n">
        <x:v>46.8</x:v>
      </x:c>
      <x:c r="G12" s="84" t="n">
        <x:f>'参数与校验'!$B$5</x:f>
        <x:v>1200</x:v>
      </x:c>
      <x:c r="H12" s="88" t="n">
        <x:f>F12*G12</x:f>
        <x:v>56160</x:v>
      </x:c>
      <x:c r="I12" s="73" t="str">
        <x:v>驾驶员档案、照片附件、大屏展示及生物特征授权接口</x:v>
      </x:c>
    </x:row>
    <x:row r="13" ht="36" customHeight="1">
      <x:c r="A13" s="198" t="n">
        <x:v>8</x:v>
      </x:c>
      <x:c r="B13" s="199" t="str">
        <x:v>人员管理</x:v>
      </x:c>
      <x:c r="C13" s="199" t="str">
        <x:v>12</x:v>
      </x:c>
      <x:c r="D13" s="199" t="str">
        <x:v>工作履职管理</x:v>
      </x:c>
      <x:c r="E13" s="199" t="str">
        <x:v>高</x:v>
      </x:c>
      <x:c r="F13" s="200" t="n">
        <x:v>71.5</x:v>
      </x:c>
      <x:c r="G13" s="201" t="n">
        <x:f>'参数与校验'!$B$5</x:f>
        <x:v>1200</x:v>
      </x:c>
      <x:c r="H13" s="202" t="n">
        <x:f>F13*G13</x:f>
        <x:v>85800</x:v>
      </x:c>
      <x:c r="I13" s="203" t="str">
        <x:v>年审、复训、鉴定、违法、评比、训练、黑名单及全过程追溯</x:v>
      </x:c>
    </x:row>
    <x:row r="14" ht="36" customHeight="1">
      <x:c r="A14" s="187" t="n">
        <x:v>9</x:v>
      </x:c>
      <x:c r="B14" s="190" t="str">
        <x:v>方案与计划</x:v>
      </x:c>
      <x:c r="C14" s="190" t="str">
        <x:v>13</x:v>
      </x:c>
      <x:c r="D14" s="190" t="str">
        <x:v>运输保障方案管理</x:v>
      </x:c>
      <x:c r="E14" s="190" t="str">
        <x:v>高</x:v>
      </x:c>
      <x:c r="F14" s="196" t="n">
        <x:v>80.6</x:v>
      </x:c>
      <x:c r="G14" s="84" t="n">
        <x:f>'参数与校验'!$B$5</x:f>
        <x:v>1200</x:v>
      </x:c>
      <x:c r="H14" s="88" t="n">
        <x:f>F14*G14</x:f>
        <x:v>96720</x:v>
      </x:c>
      <x:c r="I14" s="73" t="str">
        <x:v>六类运输保障方案、模板编制、结构化生成及多格式文档转换</x:v>
      </x:c>
    </x:row>
    <x:row r="15" ht="36" customHeight="1">
      <x:c r="A15" s="198" t="n">
        <x:v>10</x:v>
      </x:c>
      <x:c r="B15" s="199" t="str">
        <x:v>方案与计划</x:v>
      </x:c>
      <x:c r="C15" s="199" t="str">
        <x:v>14</x:v>
      </x:c>
      <x:c r="D15" s="199" t="str">
        <x:v>汽车分队计划管理</x:v>
      </x:c>
      <x:c r="E15" s="199" t="str">
        <x:v>高</x:v>
      </x:c>
      <x:c r="F15" s="200" t="n">
        <x:v>75.4</x:v>
      </x:c>
      <x:c r="G15" s="201" t="n">
        <x:f>'参数与校验'!$B$5</x:f>
        <x:v>1200</x:v>
      </x:c>
      <x:c r="H15" s="202" t="n">
        <x:f>F15*G15</x:f>
        <x:v>90480</x:v>
      </x:c>
      <x:c r="I15" s="203" t="str">
        <x:v>六类汽车分队计划、个性化模板、结构化文档生成与格式转换</x:v>
      </x:c>
    </x:row>
    <x:row r="16" ht="36" customHeight="1">
      <x:c r="A16" s="187" t="n">
        <x:v>11</x:v>
      </x:c>
      <x:c r="B16" s="190" t="str">
        <x:v>方案与计划</x:v>
      </x:c>
      <x:c r="C16" s="190" t="str">
        <x:v>15</x:v>
      </x:c>
      <x:c r="D16" s="190" t="str">
        <x:v>应急方案预案管理</x:v>
      </x:c>
      <x:c r="E16" s="190" t="str">
        <x:v>中高</x:v>
      </x:c>
      <x:c r="F16" s="196" t="n">
        <x:v>49.4</x:v>
      </x:c>
      <x:c r="G16" s="84" t="n">
        <x:f>'参数与校验'!$B$5</x:f>
        <x:v>1200</x:v>
      </x:c>
      <x:c r="H16" s="88" t="n">
        <x:f>F16*G16</x:f>
        <x:v>59280</x:v>
      </x:c>
      <x:c r="I16" s="73" t="str">
        <x:v>三类应急预案、模板管理、结构化生成及文档格式转换</x:v>
      </x:c>
    </x:row>
    <x:row r="17" ht="36" customHeight="1">
      <x:c r="A17" s="198" t="n">
        <x:v>12</x:v>
      </x:c>
      <x:c r="B17" s="199" t="str">
        <x:v>教育与训练</x:v>
      </x:c>
      <x:c r="C17" s="199" t="str">
        <x:v>16</x:v>
      </x:c>
      <x:c r="D17" s="199" t="str">
        <x:v>理论学习</x:v>
      </x:c>
      <x:c r="E17" s="199" t="str">
        <x:v>低</x:v>
      </x:c>
      <x:c r="F17" s="200" t="n">
        <x:v>20.8</x:v>
      </x:c>
      <x:c r="G17" s="201" t="n">
        <x:f>'参数与校验'!$B$5</x:f>
        <x:v>1200</x:v>
      </x:c>
      <x:c r="H17" s="202" t="n">
        <x:f>F17*G17</x:f>
        <x:v>24960</x:v>
      </x:c>
      <x:c r="I17" s="203" t="str">
        <x:v>视频/动画内容上传、分类、播放和基础学习记录</x:v>
      </x:c>
    </x:row>
    <x:row r="18" ht="36" customHeight="1">
      <x:c r="A18" s="187" t="n">
        <x:v>13</x:v>
      </x:c>
      <x:c r="B18" s="190" t="str">
        <x:v>教育与训练</x:v>
      </x:c>
      <x:c r="C18" s="190" t="str">
        <x:v>17</x:v>
      </x:c>
      <x:c r="D18" s="190" t="str">
        <x:v>警示教育</x:v>
      </x:c>
      <x:c r="E18" s="190" t="str">
        <x:v>低中</x:v>
      </x:c>
      <x:c r="F18" s="196" t="n">
        <x:v>23.4</x:v>
      </x:c>
      <x:c r="G18" s="84" t="n">
        <x:f>'参数与校验'!$B$5</x:f>
        <x:v>1200</x:v>
      </x:c>
      <x:c r="H18" s="88" t="n">
        <x:f>F18*G18</x:f>
        <x:v>28080</x:v>
      </x:c>
      <x:c r="I18" s="73" t="str">
        <x:v>事故案例内容管理、定期更新、组织观看和警示学习记录</x:v>
      </x:c>
    </x:row>
    <x:row r="19" ht="36" customHeight="1">
      <x:c r="A19" s="198" t="n">
        <x:v>14</x:v>
      </x:c>
      <x:c r="B19" s="199" t="str">
        <x:v>教育与训练</x:v>
      </x:c>
      <x:c r="C19" s="199" t="str">
        <x:v>18</x:v>
      </x:c>
      <x:c r="D19" s="199" t="str">
        <x:v>风险提醒</x:v>
      </x:c>
      <x:c r="E19" s="199" t="str">
        <x:v>中</x:v>
      </x:c>
      <x:c r="F19" s="200" t="n">
        <x:v>26</x:v>
      </x:c>
      <x:c r="G19" s="201" t="n">
        <x:f>'参数与校验'!$B$5</x:f>
        <x:v>1200</x:v>
      </x:c>
      <x:c r="H19" s="202" t="n">
        <x:f>F19*G19</x:f>
        <x:v>31200</x:v>
      </x:c>
      <x:c r="I19" s="203" t="str">
        <x:v>天气/灾害信息维护、规则分析和季节性风险提醒</x:v>
      </x:c>
    </x:row>
    <x:row r="20" ht="36" customHeight="1">
      <x:c r="A20" s="187" t="n">
        <x:v>15</x:v>
      </x:c>
      <x:c r="B20" s="190" t="str">
        <x:v>教育与训练</x:v>
      </x:c>
      <x:c r="C20" s="190" t="str">
        <x:v>19</x:v>
      </x:c>
      <x:c r="D20" s="190" t="str">
        <x:v>驾驶训练管理</x:v>
      </x:c>
      <x:c r="E20" s="190" t="str">
        <x:v>中高</x:v>
      </x:c>
      <x:c r="F20" s="196" t="n">
        <x:v>49.4</x:v>
      </x:c>
      <x:c r="G20" s="84" t="n">
        <x:f>'参数与校验'!$B$5</x:f>
        <x:v>1200</x:v>
      </x:c>
      <x:c r="H20" s="88" t="n">
        <x:f>F20*G20</x:f>
        <x:v>59280</x:v>
      </x:c>
      <x:c r="I20" s="73" t="str">
        <x:v>训练档案、题库导入导出、随机考试、自动评分和年审数据管理</x:v>
      </x:c>
    </x:row>
    <x:row r="21" ht="36" customHeight="1">
      <x:c r="A21" s="198" t="n">
        <x:v>16</x:v>
      </x:c>
      <x:c r="B21" s="199" t="str">
        <x:v>器材与库存</x:v>
      </x:c>
      <x:c r="C21" s="199" t="str">
        <x:v>20</x:v>
      </x:c>
      <x:c r="D21" s="199" t="str">
        <x:v>仓库和人员管理</x:v>
      </x:c>
      <x:c r="E21" s="199" t="str">
        <x:v>低</x:v>
      </x:c>
      <x:c r="F21" s="200" t="n">
        <x:v>18.2</x:v>
      </x:c>
      <x:c r="G21" s="201" t="n">
        <x:f>'参数与校验'!$B$5</x:f>
        <x:v>1200</x:v>
      </x:c>
      <x:c r="H21" s="202" t="n">
        <x:f>F21*G21</x:f>
        <x:v>21840</x:v>
      </x:c>
      <x:c r="I21" s="203" t="str">
        <x:v>仓库和仓管员基础管理、关联数据删除校验及权限授权</x:v>
      </x:c>
    </x:row>
    <x:row r="22" ht="36" customHeight="1">
      <x:c r="A22" s="187" t="n">
        <x:v>17</x:v>
      </x:c>
      <x:c r="B22" s="190" t="str">
        <x:v>器材与库存</x:v>
      </x:c>
      <x:c r="C22" s="190" t="str">
        <x:v>21</x:v>
      </x:c>
      <x:c r="D22" s="190" t="str">
        <x:v>器材账目管理</x:v>
      </x:c>
      <x:c r="E22" s="190" t="str">
        <x:v>中高</x:v>
      </x:c>
      <x:c r="F22" s="196" t="n">
        <x:v>46.8</x:v>
      </x:c>
      <x:c r="G22" s="84" t="n">
        <x:f>'参数与校验'!$B$5</x:f>
        <x:v>1200</x:v>
      </x:c>
      <x:c r="H22" s="88" t="n">
        <x:f>F22*G22</x:f>
        <x:v>56160</x:v>
      </x:c>
      <x:c r="I22" s="73" t="str">
        <x:v>器材主数据、统一编码、上下限预警、台账查询与导出</x:v>
      </x:c>
    </x:row>
    <x:row r="23" ht="36" customHeight="1">
      <x:c r="A23" s="198" t="n">
        <x:v>18</x:v>
      </x:c>
      <x:c r="B23" s="199" t="str">
        <x:v>器材与库存</x:v>
      </x:c>
      <x:c r="C23" s="199" t="str">
        <x:v>22</x:v>
      </x:c>
      <x:c r="D23" s="199" t="str">
        <x:v>消耗情况分析</x:v>
      </x:c>
      <x:c r="E23" s="199" t="str">
        <x:v>中</x:v>
      </x:c>
      <x:c r="F23" s="200" t="n">
        <x:v>39</x:v>
      </x:c>
      <x:c r="G23" s="201" t="n">
        <x:f>'参数与校验'!$B$5</x:f>
        <x:v>1200</x:v>
      </x:c>
      <x:c r="H23" s="202" t="n">
        <x:f>F23*G23</x:f>
        <x:v>46800</x:v>
      </x:c>
      <x:c r="I23" s="203" t="str">
        <x:v>出入库、领用归还、调拨、盘点、盘盈盘亏和统计分析</x:v>
      </x:c>
    </x:row>
    <x:row r="24" ht="36" customHeight="1">
      <x:c r="A24" s="187" t="n">
        <x:v>19</x:v>
      </x:c>
      <x:c r="B24" s="190" t="str">
        <x:v>器材与库存</x:v>
      </x:c>
      <x:c r="C24" s="190" t="str">
        <x:v>23</x:v>
      </x:c>
      <x:c r="D24" s="190" t="str">
        <x:v>维修设备管理</x:v>
      </x:c>
      <x:c r="E24" s="190" t="str">
        <x:v>低</x:v>
      </x:c>
      <x:c r="F24" s="196" t="n">
        <x:v>18.2</x:v>
      </x:c>
      <x:c r="G24" s="84" t="n">
        <x:f>'参数与校验'!$B$5</x:f>
        <x:v>1200</x:v>
      </x:c>
      <x:c r="H24" s="88" t="n">
        <x:f>F24*G24</x:f>
        <x:v>21840</x:v>
      </x:c>
      <x:c r="I24" s="73" t="str">
        <x:v>维修设备档案、状态、取用及维修情况动态维护</x:v>
      </x:c>
    </x:row>
    <x:row r="25" ht="36" customHeight="1">
      <x:c r="A25" s="198" t="n">
        <x:v>20</x:v>
      </x:c>
      <x:c r="B25" s="199" t="str">
        <x:v>器材与库存</x:v>
      </x:c>
      <x:c r="C25" s="199" t="str">
        <x:v>24</x:v>
      </x:c>
      <x:c r="D25" s="199" t="str">
        <x:v>附油料管理</x:v>
      </x:c>
      <x:c r="E25" s="199" t="str">
        <x:v>低</x:v>
      </x:c>
      <x:c r="F25" s="200" t="n">
        <x:v>18.2</x:v>
      </x:c>
      <x:c r="G25" s="201" t="n">
        <x:f>'参数与校验'!$B$5</x:f>
        <x:v>1200</x:v>
      </x:c>
      <x:c r="H25" s="202" t="n">
        <x:f>F25*G25</x:f>
        <x:v>21840</x:v>
      </x:c>
      <x:c r="I25" s="203" t="str">
        <x:v>附属油料品种、来源、收发记录和库存状态维护</x:v>
      </x:c>
    </x:row>
    <x:row r="26" ht="36" customHeight="1">
      <x:c r="A26" s="187" t="n">
        <x:v>21</x:v>
      </x:c>
      <x:c r="B26" s="190" t="str">
        <x:v>器材与库存</x:v>
      </x:c>
      <x:c r="C26" s="190" t="str">
        <x:v>25</x:v>
      </x:c>
      <x:c r="D26" s="190" t="str">
        <x:v>蓄电池管理</x:v>
      </x:c>
      <x:c r="E26" s="190" t="str">
        <x:v>低</x:v>
      </x:c>
      <x:c r="F26" s="196" t="n">
        <x:v>18.2</x:v>
      </x:c>
      <x:c r="G26" s="84" t="n">
        <x:f>'参数与校验'!$B$5</x:f>
        <x:v>1200</x:v>
      </x:c>
      <x:c r="H26" s="88" t="n">
        <x:f>F26*G26</x:f>
        <x:v>21840</x:v>
      </x:c>
      <x:c r="I26" s="73" t="str">
        <x:v>蓄电池档案、充放电记录和到期充电提醒</x:v>
      </x:c>
    </x:row>
    <x:row r="27" ht="36" customHeight="1">
      <x:c r="A27" s="198" t="n">
        <x:v>22</x:v>
      </x:c>
      <x:c r="B27" s="199" t="str">
        <x:v>场区与态势</x:v>
      </x:c>
      <x:c r="C27" s="199" t="str">
        <x:v>26</x:v>
      </x:c>
      <x:c r="D27" s="199" t="str">
        <x:v>场区控制管理</x:v>
      </x:c>
      <x:c r="E27" s="199" t="str">
        <x:v>高</x:v>
      </x:c>
      <x:c r="F27" s="200" t="n">
        <x:v>75.4</x:v>
      </x:c>
      <x:c r="G27" s="201" t="n">
        <x:f>'参数与校验'!$B$5</x:f>
        <x:v>1200</x:v>
      </x:c>
      <x:c r="H27" s="202" t="n">
        <x:f>F27*G27</x:f>
        <x:v>90480</x:v>
      </x:c>
      <x:c r="I27" s="203" t="str">
        <x:v>门禁/存取柜/车牌/RFID/人脸等多设备联动，含访客、黑白名单、报警和统计</x:v>
      </x:c>
    </x:row>
    <x:row r="28" ht="36" customHeight="1">
      <x:c r="A28" s="187" t="n">
        <x:v>23</x:v>
      </x:c>
      <x:c r="B28" s="190" t="str">
        <x:v>场区与态势</x:v>
      </x:c>
      <x:c r="C28" s="190" t="str">
        <x:v>27</x:v>
      </x:c>
      <x:c r="D28" s="190" t="str">
        <x:v>车场综合信息呈现</x:v>
      </x:c>
      <x:c r="E28" s="190" t="str">
        <x:v>高</x:v>
      </x:c>
      <x:c r="F28" s="196" t="n">
        <x:v>88.4</x:v>
      </x:c>
      <x:c r="G28" s="84" t="n">
        <x:f>'参数与校验'!$B$5</x:f>
        <x:v>1200</x:v>
      </x:c>
      <x:c r="H28" s="88" t="n">
        <x:f>F28*G28</x:f>
        <x:v>106080</x:v>
      </x:c>
      <x:c r="I28" s="73" t="str">
        <x:v>图层、视频、车位、车辆、人员、告警和消息中心聚合，含大屏可视化及报告生成</x:v>
      </x:c>
    </x:row>
    <x:row r="29" ht="36" customHeight="1">
      <x:c r="A29" s="198" t="n">
        <x:v>24</x:v>
      </x:c>
      <x:c r="B29" s="199" t="str">
        <x:v>数据与集成</x:v>
      </x:c>
      <x:c r="C29" s="199" t="str">
        <x:v>28</x:v>
      </x:c>
      <x:c r="D29" s="199" t="str">
        <x:v>集成数据资源管理</x:v>
      </x:c>
      <x:c r="E29" s="199" t="str">
        <x:v>很高</x:v>
      </x:c>
      <x:c r="F29" s="200" t="n">
        <x:v>156</x:v>
      </x:c>
      <x:c r="G29" s="201" t="n">
        <x:f>'参数与校验'!$B$5</x:f>
        <x:v>1200</x:v>
      </x:c>
      <x:c r="H29" s="202" t="n">
        <x:f>F29*G29</x:f>
        <x:v>187200</x:v>
      </x:c>
      <x:c r="I29" s="203" t="str">
        <x:v>主数据、权限、车辆/人员/场区/资料、电子履历、批量导入导出和离线数据支撑</x:v>
      </x:c>
    </x:row>
    <x:row r="30" ht="36" customHeight="1">
      <x:c r="A30" s="187" t="n">
        <x:v>25</x:v>
      </x:c>
      <x:c r="B30" s="190" t="str">
        <x:v>数据与集成</x:v>
      </x:c>
      <x:c r="C30" s="190" t="str">
        <x:v>29-30</x:v>
      </x:c>
      <x:c r="D30" s="190" t="str">
        <x:v>总部-下属数据互通</x:v>
      </x:c>
      <x:c r="E30" s="190" t="str">
        <x:v>高</x:v>
      </x:c>
      <x:c r="F30" s="196" t="n">
        <x:v>78</x:v>
      </x:c>
      <x:c r="G30" s="84" t="n">
        <x:f>'参数与校验'!$B$5</x:f>
        <x:v>1200</x:v>
      </x:c>
      <x:c r="H30" s="88" t="n">
        <x:f>F30*G30</x:f>
        <x:v>93600</x:v>
      </x:c>
      <x:c r="I30" s="73" t="str">
        <x:v>总部与34个下属单位数据互通、离线运行、恢复上传及同步异常处理</x:v>
      </x:c>
    </x:row>
    <x:row r="31" ht="36" customHeight="1">
      <x:c r="A31" s="198" t="n">
        <x:v>26</x:v>
      </x:c>
      <x:c r="B31" s="199" t="str">
        <x:v>移动端</x:v>
      </x:c>
      <x:c r="C31" s="199" t="str">
        <x:v>1-91</x:v>
      </x:c>
      <x:c r="D31" s="199" t="str">
        <x:v>综合信息填报终端APP软件</x:v>
      </x:c>
      <x:c r="E31" s="199" t="str">
        <x:v>很高</x:v>
      </x:c>
      <x:c r="F31" s="200" t="n">
        <x:v>104</x:v>
      </x:c>
      <x:c r="G31" s="201" t="n">
        <x:f>'参数与校验'!$B$5</x:f>
        <x:v>1200</x:v>
      </x:c>
      <x:c r="H31" s="202" t="n">
        <x:f>F31*G31</x:f>
        <x:v>124800</x:v>
      </x:c>
      <x:c r="I31" s="203" t="str">
        <x:v>综合填报APP、服务端接口、附件/数据同步及麒麟、统信等国产系统适配</x:v>
      </x:c>
    </x:row>
    <x:row r="32" ht="36" customHeight="1">
      <x:c r="A32" s="188" t="n">
        <x:v>27</x:v>
      </x:c>
      <x:c r="B32" s="191" t="str">
        <x:v>移动端</x:v>
      </x:c>
      <x:c r="C32" s="191" t="str">
        <x:v>1-92</x:v>
      </x:c>
      <x:c r="D32" s="191" t="str">
        <x:v>移动信息终端APP软件</x:v>
      </x:c>
      <x:c r="E32" s="191" t="str">
        <x:v>高</x:v>
      </x:c>
      <x:c r="F32" s="197" t="n">
        <x:v>84.5</x:v>
      </x:c>
      <x:c r="G32" s="85" t="n">
        <x:f>'参数与校验'!$B$5</x:f>
        <x:v>1200</x:v>
      </x:c>
      <x:c r="H32" s="90" t="n">
        <x:f>F32*G32</x:f>
        <x:v>101400</x:v>
      </x:c>
      <x:c r="I32" s="76" t="str">
        <x:v>移动信息APP、服务端接口、移动交互及国产系统兼容测试</x:v>
      </x:c>
    </x:row>
    <x:row r="33" ht="28" customHeight="1">
      <x:c r="A33" s="204" t="str">
        <x:v>软件模块合计</x:v>
      </x:c>
      <x:c r="B33" s="204" t="str">
        <x:v>软件模块合计</x:v>
      </x:c>
      <x:c r="C33" s="204" t="str">
        <x:v>软件模块合计</x:v>
      </x:c>
      <x:c r="D33" s="204" t="str">
        <x:v>软件模块合计</x:v>
      </x:c>
      <x:c r="E33" s="204" t="str">
        <x:v>软件模块合计</x:v>
      </x:c>
      <x:c r="F33" s="205" t="n">
        <x:f>SUM(F6:F32)</x:f>
        <x:v>1501.5</x:v>
      </x:c>
      <x:c r="G33" s="204"/>
      <x:c r="H33" s="206" t="n">
        <x:f>SUM(H6:H32)</x:f>
        <x:v>1801800</x:v>
      </x:c>
      <x:c r="I33" s="204" t="str">
        <x:v>不含固定服务费及增值税</x:v>
      </x:c>
    </x:row>
  </x:sheetData>
  <x:mergeCells>
    <x:mergeCell ref="A1:I1"/>
    <x:mergeCell ref="A2:I2"/>
    <x:mergeCell ref="A4:I4"/>
    <x:mergeCell ref="A33:E33"/>
  </x:mergeCells>
  <x:pageMargins left="0.7" right="0.7" top="0.75" bottom="0.75" header="0.3" footer="0.3"/>
  <x:tableParts count="1">
    <x:tablePart xmlns:r="http://schemas.openxmlformats.org/officeDocument/2006/relationships" r:id="R3f9554160cab48b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8" hidden="0" customWidth="1"/>
    <x:col min="2" max="2" width="15" hidden="0" customWidth="1"/>
    <x:col min="3" max="3" width="18" hidden="0" customWidth="1"/>
    <x:col min="4" max="4" width="24" hidden="0" customWidth="1"/>
    <x:col min="5" max="5" width="8" hidden="0" customWidth="1"/>
    <x:col min="6" max="6" width="100" hidden="0" customWidth="1"/>
  </x:cols>
  <x:sheetData>
    <x:row r="1" ht="34" customHeight="1">
      <x:c r="A1" s="4" t="str">
        <x:v>完整需求明细</x:v>
      </x:c>
      <x:c r="B1" s="4" t="str">
        <x:v>完整需求明细</x:v>
      </x:c>
      <x:c r="C1" s="4" t="str">
        <x:v>完整需求明细</x:v>
      </x:c>
      <x:c r="D1" s="4" t="str">
        <x:v>完整需求明细</x:v>
      </x:c>
      <x:c r="E1" s="4" t="str">
        <x:v>完整需求明细</x:v>
      </x:c>
      <x:c r="F1" s="4" t="str">
        <x:v>完整需求明细</x:v>
      </x:c>
    </x:row>
    <x:row r="2" ht="26" customHeight="1">
      <x:c r="A2" s="9" t="str">
        <x:v>每个需求项均按 1.、2.、3.……逐行排列；较长模块分段展示，条目编号在同一模块内连续。 </x:v>
      </x:c>
      <x:c r="B2" s="9" t="str">
        <x:v>每个需求项均按 1.、2.、3.……逐行排列；较长模块分段展示，条目编号在同一模块内连续。 </x:v>
      </x:c>
      <x:c r="C2" s="9" t="str">
        <x:v>每个需求项均按 1.、2.、3.……逐行排列；较长模块分段展示，条目编号在同一模块内连续。 </x:v>
      </x:c>
      <x:c r="D2" s="9" t="str">
        <x:v>每个需求项均按 1.、2.、3.……逐行排列；较长模块分段展示，条目编号在同一模块内连续。 </x:v>
      </x:c>
      <x:c r="E2" s="9" t="str">
        <x:v>每个需求项均按 1.、2.、3.……逐行排列；较长模块分段展示，条目编号在同一模块内连续。 </x:v>
      </x:c>
      <x:c r="F2" s="9" t="str">
        <x:v>每个需求项均按 1.、2.、3.……逐行排列；较长模块分段展示，条目编号在同一模块内连续。 </x:v>
      </x:c>
    </x:row>
    <x:row r="4" ht="30" customHeight="1">
      <x:c r="A4" s="64" t="str">
        <x:v>模块</x:v>
      </x:c>
      <x:c r="B4" s="64" t="str">
        <x:v>对应需求序号</x:v>
      </x:c>
      <x:c r="C4" s="64" t="str">
        <x:v>业务域</x:v>
      </x:c>
      <x:c r="D4" s="64" t="str">
        <x:v>模块名称</x:v>
      </x:c>
      <x:c r="E4" s="64" t="str">
        <x:v>分段</x:v>
      </x:c>
      <x:c r="F4" s="64" t="str">
        <x:v>需求内容（逐项换行）</x:v>
      </x:c>
    </x:row>
    <x:row r="5" ht="84" customHeight="1">
      <x:c r="A5" s="186" t="n">
        <x:v>1</x:v>
      </x:c>
      <x:c r="B5" s="189" t="str">
        <x:v>5</x:v>
      </x:c>
      <x:c r="C5" s="189" t="str">
        <x:v>车辆管理与调度</x:v>
      </x:c>
      <x:c r="D5" s="189" t="str">
        <x:v>车辆信息管理</x:v>
      </x:c>
      <x:c r="E5" s="189" t="str">
        <x:v>1/1</x:v>
      </x:c>
      <x:c r="F5" s="207" t="str">
        <x:v>1. 具备车辆基本信息管理功能，建立车辆档案，包括但不限于车辆号牌、车辆装备时间、车辆所属单位、厂牌型号、出厂年月、车辆颜色、车辆尺寸、车架号、发动机号、车辆载重、车辆照片、转弯半径及车辆行驶里程等车辆基本信息
2. 支持建立车辆使用信息动态数据库，包括但不限于动用次数、车辆状态、储备里程(完好车:执勤车、待命车、封存车和当日完成保养车
3. 非完好车:待(在)修车、待料、待报废和当日未完成的在保车辆)等动态数据</x:v>
      </x:c>
    </x:row>
    <x:row r="6" ht="112" customHeight="1">
      <x:c r="A6" s="198" t="n">
        <x:v>2</x:v>
      </x:c>
      <x:c r="B6" s="199" t="str">
        <x:v>6</x:v>
      </x:c>
      <x:c r="C6" s="199" t="str">
        <x:v>车辆管理与调度</x:v>
      </x:c>
      <x:c r="D6" s="199" t="str">
        <x:v>车辆运行状况管理</x:v>
      </x:c>
      <x:c r="E6" s="199" t="str">
        <x:v>1/2</x:v>
      </x:c>
      <x:c r="F6" s="210" t="str">
        <x:v>1. 具备跟踪记录车辆运行过程中需要维护的各项数据，包括但不限于车辆的交通事故记录、年审记录、红旗车评比记录、车辆维修保养记录、车辆保险记录、车辆器材领用记录等信息
2. 具备交通事故管理功能，记录车辆发生交通事故时间、事故原因、事故处理情况、事故现场照片等
3. 具备车辆年审登记功能，记录车辆年审时间:年审人、安全性能、环保性能、检测报告等数据，对照《红旗车标准》记录车辆各项技术性能的功能，自动推荐红旗车评比排序
4. 具备车辆维修管理功能，分类对车辆维修信息统计，包括维修时间、金额，项目等原始记录。可查询修理厂、经办人、工时费、材料费、其它费、维修项目等历史数据并进行统计，动态更新器材间器材数量等信息</x:v>
      </x:c>
    </x:row>
    <x:row r="7" ht="84" customHeight="1">
      <x:c r="A7" s="187" t="n">
        <x:v>2</x:v>
      </x:c>
      <x:c r="B7" s="190" t="str">
        <x:v>6</x:v>
      </x:c>
      <x:c r="C7" s="190" t="str">
        <x:v>车辆管理与调度</x:v>
      </x:c>
      <x:c r="D7" s="190" t="str">
        <x:v>车辆运行状况管理</x:v>
      </x:c>
      <x:c r="E7" s="190" t="str">
        <x:v>2/2</x:v>
      </x:c>
      <x:c r="F7" s="208" t="str">
        <x:v>5. 具备车辆保养记录管理功能，对车辆保养项目日期、保险时间、年审时间等信息记录，对保养项目到期、保险到期、年审到期的车辆设置自动提醒功能可分类筛选数据
6. 具备车辆器材领用管理,记录车辆灭火器随车工具等领取情况，及时提醒器材库存缺失情况，实现车辆维修保养更换器材、油料领用管理，及时提醒器材库存缺失情况
7. 支持制式表格打印输出，管理员可对车辆信息进行修改和更新，实现车辆信息的修改、删除功能，对过程数据和已生成档案不能删除，只能修改状态</x:v>
      </x:c>
    </x:row>
    <x:row r="8" ht="94" customHeight="1">
      <x:c r="A8" s="198" t="n">
        <x:v>3</x:v>
      </x:c>
      <x:c r="B8" s="199" t="str">
        <x:v>7</x:v>
      </x:c>
      <x:c r="C8" s="199" t="str">
        <x:v>车辆管理与调度</x:v>
      </x:c>
      <x:c r="D8" s="199" t="str">
        <x:v>车辆自动派遣</x:v>
      </x:c>
      <x:c r="E8" s="199" t="str">
        <x:v>1/1</x:v>
      </x:c>
      <x:c r="F8" s="210" t="str">
        <x:v>1. 具备“一键派遣”流程，车场值班员将次日用车申请统计后，按照“使用单位申请-审批领导批复-车辆管理单位执行”的流程一键集中派遣。派车指令下发后，打印机同步打印车辆派遣单，车辆依托以车牌验证的门禁系统，识别车辆身份，匹配成功后车库大门、门禁系统、车闸进出系统对授权车辆及人员自动予以放行
2. 具备车位状态变化跟踪功能，车辆离位感知事件、车辆入库感知事件在消息中心显示，更新车场调度室大屏车位占用情况
3. 具备车辆回场定位屏显示信息动态更新功能，通过车牌自动识别车辆信息，并与车辆派遣信息进行比对，比对成功后予以放行。车辆回场后，将车辆在位状态、回场时间等信息数据反馈至车场调度室</x:v>
      </x:c>
    </x:row>
    <x:row r="9" ht="112" customHeight="1">
      <x:c r="A9" s="187" t="n">
        <x:v>4</x:v>
      </x:c>
      <x:c r="B9" s="190" t="str">
        <x:v>8</x:v>
      </x:c>
      <x:c r="C9" s="190" t="str">
        <x:v>车辆管理与调度</x:v>
      </x:c>
      <x:c r="D9" s="190" t="str">
        <x:v>车闸控制管理</x:v>
      </x:c>
      <x:c r="E9" s="190" t="str">
        <x:v>1/1</x:v>
      </x:c>
      <x:c r="F9" s="208" t="str">
        <x:v>1. 具备车辆临时回场功能，车辆回场后，行驶包入柜门禁、智能存取柜等均锁死，车辆无法再次出场若行车包不入柜，认定为车辆临时回场，车辆可再次出场
2. 支持审批通过的车辆派车单的安排和执行情况(审批人、安排的车辆、执行任务的驾驶员以及联系方法、车辆在场或者离场时间、执行任务等状态)等信息在大屏幕上智能显示
3. 具备可主动控制道闸放行，临时紧急情况或已批准的地方车辆出入可认为主动放行，但是需要记录控制放行操作
4. 具备车辆在位动态管理功能，车辆出场后，调度室大屏自动更新车辆在位动态，系统自动记录车辆出场时间、并通过车辆信息采集模块读取车辆公里数等基本信息</x:v>
      </x:c>
    </x:row>
    <x:row r="10" ht="38" customHeight="1">
      <x:c r="A10" s="198" t="n">
        <x:v>5</x:v>
      </x:c>
      <x:c r="B10" s="199" t="str">
        <x:v>9</x:v>
      </x:c>
      <x:c r="C10" s="199" t="str">
        <x:v>车辆管理与调度</x:v>
      </x:c>
      <x:c r="D10" s="199" t="str">
        <x:v>油耗分析统计</x:v>
      </x:c>
      <x:c r="E10" s="199" t="str">
        <x:v>1/1</x:v>
      </x:c>
      <x:c r="F10" s="210" t="str">
        <x:v>1. 具备里程油耗统计功能，动态采集车辆运行数据或人工录入的车辆运行数据，统计车辆行驶的里程油耗数据(包括百公里油耗)，支持按天、按月查询车辆运行数据;具备分析统计功能，仪表油耗、加油油耗和车辆信息收集后按周、月、年进行智能分析功能，可查看车辆油耗变化趋势图分析车辆技术状态，提醒驾驶员注意检查保养车辆</x:v>
      </x:c>
    </x:row>
    <x:row r="11" ht="38" customHeight="1">
      <x:c r="A11" s="187" t="n">
        <x:v>6</x:v>
      </x:c>
      <x:c r="B11" s="190" t="str">
        <x:v>10</x:v>
      </x:c>
      <x:c r="C11" s="190" t="str">
        <x:v>车辆管理与调度</x:v>
      </x:c>
      <x:c r="D11" s="190" t="str">
        <x:v>辅助决策调度排班</x:v>
      </x:c>
      <x:c r="E11" s="190" t="str">
        <x:v>1/1</x:v>
      </x:c>
      <x:c r="F11" s="208" t="str">
        <x:v>1. 具备自动生成车辆调度排班计划表，值班员根据需求输入用车需求，系统根据车辆在位情况、动用情况及车辆技术状况自动生成排班计划，并按制式模板导出，辅助调度员安排值班车辆和车辆调度工作</x:v>
      </x:c>
    </x:row>
    <x:row r="12" ht="84" customHeight="1">
      <x:c r="A12" s="198" t="n">
        <x:v>7</x:v>
      </x:c>
      <x:c r="B12" s="199" t="str">
        <x:v>11</x:v>
      </x:c>
      <x:c r="C12" s="199" t="str">
        <x:v>人员管理</x:v>
      </x:c>
      <x:c r="D12" s="199" t="str">
        <x:v>人员信息管理</x:v>
      </x:c>
      <x:c r="E12" s="199" t="str">
        <x:v>1/1</x:v>
      </x:c>
      <x:c r="F12" s="210" t="str">
        <x:v>1. 具备驾驶员基本信息管理功能，建立驾驶员档案，包括不限于驾驶员姓名、籍贯、入伍年月、衔级、准驾车型、领证时间、驾龄、单独执勤情况、出车次数、驾驶里程、驾驶状态等基础信息，实现对驾驶员信息的数字化管理
2. 具备图像显示功能，支持附件或拍照上传，驾驶员的相关照片可通过扫描后上传到系统中，可在调度室大屏上显示，驾驶员综合信息可随时掌握，支持驾驶员基本信息在调度室大屏上显示
3. 具备驾驶员生物特征采集管理，可授权驾驶员生物特征解锁打开指定车场门禁终端，也可支持撤销授权</x:v>
      </x:c>
    </x:row>
    <x:row r="13" ht="112" customHeight="1">
      <x:c r="A13" s="187" t="n">
        <x:v>8</x:v>
      </x:c>
      <x:c r="B13" s="190" t="str">
        <x:v>12</x:v>
      </x:c>
      <x:c r="C13" s="190" t="str">
        <x:v>人员管理</x:v>
      </x:c>
      <x:c r="D13" s="190" t="str">
        <x:v>工作履职管理</x:v>
      </x:c>
      <x:c r="E13" s="190" t="str">
        <x:v>1/2</x:v>
      </x:c>
      <x:c r="F13" s="208" t="str">
        <x:v>1. 具备记录驾驶员的年审、复训、职业技能鉴定、红旗车驾驶员评定、交通违法抄告等基本情况，红旗车驾驶员评定成绩信息等信息支持在宣传屏上轮询展示
2. 具备对于严重违法抄告行为、年审不合格等行为，系统自动将相关人员列入黑名单，并无法驾驶车辆
3. 具备驾驶员年度审验管理功能，包括但不限于驾驶员年审时间、体检情况、年审成绩、年审提醒、年审报告等信息
4. 具备驾驶复训管理功能包括但不限于参加复训时间、复训成绩、复训结论等信息；具备交通违法抄告管理功能，包括但不限违法时间、违法过程违法类型、违法处理情况等信息</x:v>
      </x:c>
    </x:row>
    <x:row r="14" ht="94" customHeight="1">
      <x:c r="A14" s="198" t="n">
        <x:v>8</x:v>
      </x:c>
      <x:c r="B14" s="199" t="str">
        <x:v>12</x:v>
      </x:c>
      <x:c r="C14" s="199" t="str">
        <x:v>人员管理</x:v>
      </x:c>
      <x:c r="D14" s="199" t="str">
        <x:v>工作履职管理</x:v>
      </x:c>
      <x:c r="E14" s="199" t="str">
        <x:v>2/2</x:v>
      </x:c>
      <x:c r="F14" s="210" t="str">
        <x:v>5. 具备驾驶员职业鉴定管理功能，包括初、中、高级、技师考试成绩、取证时间及有关考试报名条件等
6. 具备红旗车驾驶员评定，按照月度记录驾驶员“爱车、守纪、安全、节约”情况，根据月度出车数据情况和平常表现，对驾驶员进行成绩评定，记录并可查询年度红旗车驾驶员评定情况，可审核驾驶员参加红旗车驾驶员评比资格
7. 具备驾驶员训练情况登记功能，对驾驶员的行车里程、驾驶员复训、技能培训等情况，定期进行统计更新，记录驾驶员队伍各项任务、日常培训完成以及奖罚等情况。支持制式表格进行打印输出，管理员可对驾驶员信息进行修改和更新，实现驾驶员信息的修改、删除功能，已产生数据的驾驶员不能删除，只能把状态变成离岗等可以对历史数据进行追溯</x:v>
      </x:c>
    </x:row>
    <x:row r="15" ht="122" customHeight="1">
      <x:c r="A15" s="187" t="n">
        <x:v>9</x:v>
      </x:c>
      <x:c r="B15" s="190" t="str">
        <x:v>13</x:v>
      </x:c>
      <x:c r="C15" s="190" t="str">
        <x:v>方案与计划</x:v>
      </x:c>
      <x:c r="D15" s="190" t="str">
        <x:v>运输保障方案管理</x:v>
      </x:c>
      <x:c r="E15" s="190" t="str">
        <x:v>1/2</x:v>
      </x:c>
      <x:c r="F15" s="208" t="str">
        <x:v>1. 具备任务分队运输保障方案电子化管理，实现方案的快速生成、个性定制，包括但不限于记录分队的任务地区、使命任务和领导决心、本分队公路运输能力任务、原则和措施、汽车运力的组织、使用和配置、运输协同、安保及相关保障措施等
2. 具备任务分队摩托化机动方案电子化管理，实现方案的快速生成、个性定制，包括但不限于记录分队机动的目的、方式及路线、公路运输保障的主要任务及运量、汽车运力的组成、使用和区分、装卸载地点和装卸载保障、运输组织指挥措施等
3. 具备应急物资公路运输保障方案电子化管理，实现方案的快速生成、个性定制，包括但不限于记录物资种类、数量、装载/卸载地点、汽车运力的筹措和使用安排、运输指挥和相关保障措施等
4. 具备扩编、疏散和动员集结公路运输保障方案电子化管理，实现方案的快速生成、个性定制，包括但不限于记录运力的筹措、使用、区分、运输组织和保障措施等作出安排等</x:v>
      </x:c>
    </x:row>
    <x:row r="16" ht="94" customHeight="1">
      <x:c r="A16" s="198" t="n">
        <x:v>9</x:v>
      </x:c>
      <x:c r="B16" s="199" t="str">
        <x:v>13</x:v>
      </x:c>
      <x:c r="C16" s="199" t="str">
        <x:v>方案与计划</x:v>
      </x:c>
      <x:c r="D16" s="199" t="str">
        <x:v>运输保障方案管理</x:v>
      </x:c>
      <x:c r="E16" s="199" t="str">
        <x:v>2/2</x:v>
      </x:c>
      <x:c r="F16" s="210" t="str">
        <x:v>5. 具备重型车辆公路运输保障方案，实现方案的快速生成个性定制，包括但不限于、记录保障对象种类、数量、装载、卸载地点、汽车运力的筹措和使用安排、运输指挥和相关保障措施等
6. 具备抢险救灾、支援国家社会经济建设等公路运输保障方案电子化管理，实现方案的快速生成、个性定制，包括但不限于记录形势分析，应急处置力量、主要任务区分行动区域划分，人员车辆使用、行动方法、组织指挥与协同，情况处置预案，保障措施等。方案提供模板编制功能，
7. 具备结构化数据自动生成WORD版本，可实现方案的快速生成，并能实现WORD转PDF、WORD转OFD、PDF转OFD等格式的转换和在线阅读0FD文档</x:v>
      </x:c>
    </x:row>
    <x:row r="17" ht="122" customHeight="1">
      <x:c r="A17" s="187" t="n">
        <x:v>10</x:v>
      </x:c>
      <x:c r="B17" s="190" t="str">
        <x:v>14</x:v>
      </x:c>
      <x:c r="C17" s="190" t="str">
        <x:v>方案与计划</x:v>
      </x:c>
      <x:c r="D17" s="190" t="str">
        <x:v>汽车分队计划管理</x:v>
      </x:c>
      <x:c r="E17" s="190" t="str">
        <x:v>1/2</x:v>
      </x:c>
      <x:c r="F17" s="208" t="str">
        <x:v>1. 具备车辆编组计划电子化管理，实现方案的快速生成、个性定制，包括但不限于记录基本领导机构人员编成与职责分工、执勤部位及值班部署、转移方案保障措施等
2. 具备运力收拢计划电子化管理，实现方案的快速生成、个性定制，包括但不限于记录被收拢的单位及其人员、车辆数量、收拢的时限和方式、集合或者集结地点、通信联络方法及注意事项等内容等
3. 具备运力疏散计划电子化管理，实现方案的快速生成、个性定制，包括但不限于记录疏散地域的划分进入疏散地域的路线与开进序列、警报信号规定、安保措施等
4. 具备运力扩编计划电子化管理，实现方案的快速生成、个性定制，包括但不限于记录增加或者扩编的单位、补充的人员、车辆:物资的类别、数量及补充方法、完成扩编的时限、集结地域和驾驶路线等</x:v>
      </x:c>
    </x:row>
    <x:row r="18" ht="76" customHeight="1">
      <x:c r="A18" s="198" t="n">
        <x:v>10</x:v>
      </x:c>
      <x:c r="B18" s="199" t="str">
        <x:v>14</x:v>
      </x:c>
      <x:c r="C18" s="199" t="str">
        <x:v>方案与计划</x:v>
      </x:c>
      <x:c r="D18" s="199" t="str">
        <x:v>汽车分队计划管理</x:v>
      </x:c>
      <x:c r="E18" s="199" t="str">
        <x:v>2/2</x:v>
      </x:c>
      <x:c r="F18" s="210" t="str">
        <x:v>5. 具备留守计划电子化管理，实现方案的快速生成个性定制，包括但不限于记录留守机构的组成与任务、留守期间的保障关系及保障措施、留守机构预定转移地域等
6. 具备运输计划电子化管理，实现方案的快速生成、个性定制，包括但不限于记录运输任务、路线、梯队编成和车辆序列、调整勤务的组织和驾驶要求、出发和通过调整区(点)的时间，大休息和宿营地域及到达时间，通信联络的组织、各项保障措施以及与其他运输计划相衔接的保障措施等。方案提供模板编制功能，具备结构化数据自动生成WORD版本,可实现方案的快速生成,并能实现WORD转PDF、WORD转OFD、PDF转OFD等格式的转换和在线阅读OFD文档</x:v>
      </x:c>
    </x:row>
    <x:row r="19" ht="114" customHeight="1">
      <x:c r="A19" s="187" t="n">
        <x:v>11</x:v>
      </x:c>
      <x:c r="B19" s="190" t="str">
        <x:v>15</x:v>
      </x:c>
      <x:c r="C19" s="190" t="str">
        <x:v>方案与计划</x:v>
      </x:c>
      <x:c r="D19" s="190" t="str">
        <x:v>应急方案预案管理</x:v>
      </x:c>
      <x:c r="E19" s="190" t="str">
        <x:v>1/1</x:v>
      </x:c>
      <x:c r="F19" s="208" t="str">
        <x:v>1. 具备车场消防预案电子化管理实现方案的快速生成、个性定制，包括但不限于记录火灾警报信号与通联方式、抢救车辆、物资器材的组织与人员分工、车辆疏散路线和集结地点、与消防部门的联系方法和进出场路线、夜间发生火警时的照明等
2. 具备车场紧急疏散方案电子化管理，实现方案的快速生成、个性定制，包括但不限于记录报警信号、车辆紧急启封程序、人员组织分工、车辆出场顺序、疏散路线和集结地点、指挥和安保人员的派出、夜间照明和灯火管制要求、突发情况时车辆、器材的抢救方法等
3. 具备营门处突案电子化管理，实现方案的快速生成、个性定制，包括但不限于记录冲突警报信号与通联方式、抢救车辆、物资器材的组织与人员分工、武器领取和集合地点、与公安部门的联系方法等。方案提供模板编制功能，具备结构化数据自动生成WORD版本，可实现方案的快速生成，并能实现WORD转PDF、WORD转OFD、PDF转OFD等格式的转换和在线阅读OFD文档</x:v>
      </x:c>
    </x:row>
    <x:row r="20" ht="38" customHeight="1">
      <x:c r="A20" s="198" t="n">
        <x:v>12</x:v>
      </x:c>
      <x:c r="B20" s="199" t="str">
        <x:v>16</x:v>
      </x:c>
      <x:c r="C20" s="199" t="str">
        <x:v>教育与训练</x:v>
      </x:c>
      <x:c r="D20" s="199" t="str">
        <x:v>理论学习</x:v>
      </x:c>
      <x:c r="E20" s="199" t="str">
        <x:v>1/1</x:v>
      </x:c>
      <x:c r="F20" s="210" t="str">
        <x:v>1. 具备以动画、短片等形式上传安全驾驶知识、道路交通法规、驾驶科目类视频，驾驶员可观看学习提高驾驶员理论水平</x:v>
      </x:c>
    </x:row>
    <x:row r="21" ht="74" customHeight="1">
      <x:c r="A21" s="187" t="n">
        <x:v>13</x:v>
      </x:c>
      <x:c r="B21" s="190" t="str">
        <x:v>17</x:v>
      </x:c>
      <x:c r="C21" s="190" t="str">
        <x:v>教育与训练</x:v>
      </x:c>
      <x:c r="D21" s="190" t="str">
        <x:v>警示教育</x:v>
      </x:c>
      <x:c r="E21" s="190" t="str">
        <x:v>1/1</x:v>
      </x:c>
      <x:c r="F21" s="208" t="str">
        <x:v>1. 具备按上传交通事故视频案例功能，各单位定期组织观看，提高驾驶员安全行车、依法行车意识
2. 具备定期更新各类交通事故处置案例，提醒各单位及时组织观看，提高驾驶员事故应急处置能力
3. 具备对违法抄告驾驶员的警示教育、集中学习的功能</x:v>
      </x:c>
    </x:row>
    <x:row r="22" ht="56" customHeight="1">
      <x:c r="A22" s="198" t="n">
        <x:v>14</x:v>
      </x:c>
      <x:c r="B22" s="199" t="str">
        <x:v>18</x:v>
      </x:c>
      <x:c r="C22" s="199" t="str">
        <x:v>教育与训练</x:v>
      </x:c>
      <x:c r="D22" s="199" t="str">
        <x:v>风险提醒</x:v>
      </x:c>
      <x:c r="E22" s="199" t="str">
        <x:v>1/1</x:v>
      </x:c>
      <x:c r="F22" s="210" t="str">
        <x:v>1. 具备风险提示功能，换季及炎热季节，后台手动更新天气情况（联网可自动更新），平台自动分析近期天气走势，可提醒驾驶员事故高发季节注意防范
2. 后台手动更新地震、水灾、泥石流等自然灾害信息，平台自动分析和提示高温、雨雪等极端天气下行车各类注意事项，提高驾驶员防范和处理问题能力</x:v>
      </x:c>
    </x:row>
    <x:row r="23" ht="102" customHeight="1">
      <x:c r="A23" s="187" t="n">
        <x:v>15</x:v>
      </x:c>
      <x:c r="B23" s="190" t="str">
        <x:v>19</x:v>
      </x:c>
      <x:c r="C23" s="190" t="str">
        <x:v>教育与训练</x:v>
      </x:c>
      <x:c r="D23" s="190" t="str">
        <x:v>驾驶训练管理</x:v>
      </x:c>
      <x:c r="E23" s="190" t="str">
        <x:v>1/1</x:v>
      </x:c>
      <x:c r="F23" s="208" t="str">
        <x:v>1. 具备驾驶技能、养护技能、维修技能记录功能，查询驾驶员的日常参训数据，对驾驶员组训工作开展、日常参训定期评估
2. 具备考核功能，以随机考题、在线考试等方式对交通安全理论知识、车辆维修技能、车辆驾驶技能等进行考核，自动对交通安全理论考核进行评分，并记录评分结果
3. 具备题库更新功能支持导入导出考题
4. 具备对驾驶员考核信息的管理，记录驾驶员考核次数、成绩等信息，对考核不通过驾驶员进行标记和提醒具备对驾驶员年审添加、导入管理</x:v>
      </x:c>
    </x:row>
    <x:row r="24" ht="46" customHeight="1">
      <x:c r="A24" s="198" t="n">
        <x:v>16</x:v>
      </x:c>
      <x:c r="B24" s="199" t="str">
        <x:v>20</x:v>
      </x:c>
      <x:c r="C24" s="199" t="str">
        <x:v>器材与库存</x:v>
      </x:c>
      <x:c r="D24" s="199" t="str">
        <x:v>仓库和人员管理</x:v>
      </x:c>
      <x:c r="E24" s="199" t="str">
        <x:v>1/1</x:v>
      </x:c>
      <x:c r="F24" s="210" t="str">
        <x:v>1. 具备添加、删除修改等管理，已关联库存器材数据的仓库不能删除
2. 具备仓管员管理功能和仓管员权限授权</x:v>
      </x:c>
    </x:row>
    <x:row r="25" ht="102" customHeight="1">
      <x:c r="A25" s="187" t="n">
        <x:v>17</x:v>
      </x:c>
      <x:c r="B25" s="190" t="str">
        <x:v>21</x:v>
      </x:c>
      <x:c r="C25" s="190" t="str">
        <x:v>器材与库存</x:v>
      </x:c>
      <x:c r="D25" s="190" t="str">
        <x:v>器材账目管理</x:v>
      </x:c>
      <x:c r="E25" s="190" t="str">
        <x:v>1/1</x:v>
      </x:c>
      <x:c r="F25" s="208" t="str">
        <x:v>1. 具备器材类目的新增、修改、删除包括对器材名称、编号、型号、规格、序列号管理、SKU、安全库存上限和下限、计量单位等信息维护
2. 具备器材编码功能器材编码采取统一的资产编目赋码，实现各类器材入库时自动赋码
3. 具备库存量警戒报警，对低于安全库存下限或超出库存上限的器材推送库存预警消息
4. 具备查询导出器材总体台账表功能</x:v>
      </x:c>
    </x:row>
    <x:row r="26" ht="74" customHeight="1">
      <x:c r="A26" s="198" t="n">
        <x:v>18</x:v>
      </x:c>
      <x:c r="B26" s="199" t="str">
        <x:v>22</x:v>
      </x:c>
      <x:c r="C26" s="199" t="str">
        <x:v>器材与库存</x:v>
      </x:c>
      <x:c r="D26" s="199" t="str">
        <x:v>消耗情况分析</x:v>
      </x:c>
      <x:c r="E26" s="199" t="str">
        <x:v>1/1</x:v>
      </x:c>
      <x:c r="F26" s="210" t="str">
        <x:v>1. 具备对器材库存信息的统计分析跟踪库存数量变化过程
2. 具备对出入库的各类物资数据统计进行出入库分析
3. 具备器材领用管理，可申领器材也可申请归还入库，可进行调拨，生成盘点报告，处理盘盈、盘亏，保证库存数量的准确性</x:v>
      </x:c>
    </x:row>
    <x:row r="27" ht="38" customHeight="1">
      <x:c r="A27" s="187" t="n">
        <x:v>19</x:v>
      </x:c>
      <x:c r="B27" s="190" t="str">
        <x:v>23</x:v>
      </x:c>
      <x:c r="C27" s="190" t="str">
        <x:v>器材与库存</x:v>
      </x:c>
      <x:c r="D27" s="190" t="str">
        <x:v>维修设备管理</x:v>
      </x:c>
      <x:c r="E27" s="190" t="str">
        <x:v>1/1</x:v>
      </x:c>
      <x:c r="F27" s="208" t="str">
        <x:v>1. 具备维修间设备管理功能，记录维修间设施设备状态(数量、质量、来源等)，动态更新维修间设施设备管理情况、取用情况、车辆维修情况等</x:v>
      </x:c>
    </x:row>
    <x:row r="28" ht="38" customHeight="1">
      <x:c r="A28" s="198" t="n">
        <x:v>20</x:v>
      </x:c>
      <x:c r="B28" s="199" t="str">
        <x:v>24</x:v>
      </x:c>
      <x:c r="C28" s="199" t="str">
        <x:v>器材与库存</x:v>
      </x:c>
      <x:c r="D28" s="199" t="str">
        <x:v>附油料管理</x:v>
      </x:c>
      <x:c r="E28" s="199" t="str">
        <x:v>1/1</x:v>
      </x:c>
      <x:c r="F28" s="210" t="str">
        <x:v>1. 具备附属油料管理功能，记录附属油料间油料种类和状态(品种、来源、时间)，登记收发记录，动态更新油料收发情况</x:v>
      </x:c>
    </x:row>
    <x:row r="29" ht="38" customHeight="1">
      <x:c r="A29" s="187" t="n">
        <x:v>21</x:v>
      </x:c>
      <x:c r="B29" s="190" t="str">
        <x:v>25</x:v>
      </x:c>
      <x:c r="C29" s="190" t="str">
        <x:v>器材与库存</x:v>
      </x:c>
      <x:c r="D29" s="190" t="str">
        <x:v>蓄电池管理</x:v>
      </x:c>
      <x:c r="E29" s="190" t="str">
        <x:v>1/1</x:v>
      </x:c>
      <x:c r="F29" s="208" t="str">
        <x:v>1. 具备蓄电池到期充电自动提醒功能，记录蓄电池间蓄电池状态(数量、质量、来源、配发时间)，动态更新蓄电池充放电情况</x:v>
      </x:c>
    </x:row>
    <x:row r="30" ht="92" customHeight="1">
      <x:c r="A30" s="198" t="n">
        <x:v>22</x:v>
      </x:c>
      <x:c r="B30" s="199" t="str">
        <x:v>26</x:v>
      </x:c>
      <x:c r="C30" s="199" t="str">
        <x:v>场区与态势</x:v>
      </x:c>
      <x:c r="D30" s="199" t="str">
        <x:v>场区控制管理</x:v>
      </x:c>
      <x:c r="E30" s="199" t="str">
        <x:v>1/2</x:v>
      </x:c>
      <x:c r="F30" s="210" t="str">
        <x:v>1. 具备内部人员管理，支持下发通行权限至门禁智能存取柜等设备功能;
2. 具备访客出入次数，出入访问区域权限控制,来访人车查阅
3. 具备识别车辆以车牌或RFID装备识别卡，并进行权限验证，验证通过后自动控制放行，并自动填写值班日志记录
4. 具备对人员人脸进行权限验证，验证通过后控制放行，并自动填写值班日志记录</x:v>
      </x:c>
    </x:row>
    <x:row r="31" ht="92" customHeight="1">
      <x:c r="A31" s="187" t="n">
        <x:v>22</x:v>
      </x:c>
      <x:c r="B31" s="190" t="str">
        <x:v>26</x:v>
      </x:c>
      <x:c r="C31" s="190" t="str">
        <x:v>场区与态势</x:v>
      </x:c>
      <x:c r="D31" s="190" t="str">
        <x:v>场区控制管理</x:v>
      </x:c>
      <x:c r="E31" s="190" t="str">
        <x:v>2/2</x:v>
      </x:c>
      <x:c r="F31" s="208" t="str">
        <x:v>5. 具备对人员或车辆进出记录进行查询统计，可按照车牌、时间等条件分页查询记录
6. 具备对每日访客的来访数量、出发地等进行统计和分析，生成直观的数据报表，方便对来访人员的管理和合理的安排
7. 具备对访客、车辆管理黑白名单功能
8. 具备场区消防、动环、电子围栏设备管理和报警功能</x:v>
      </x:c>
    </x:row>
    <x:row r="32" ht="102" customHeight="1">
      <x:c r="A32" s="198" t="n">
        <x:v>23</x:v>
      </x:c>
      <x:c r="B32" s="199" t="str">
        <x:v>27</x:v>
      </x:c>
      <x:c r="C32" s="199" t="str">
        <x:v>场区与态势</x:v>
      </x:c>
      <x:c r="D32" s="199" t="str">
        <x:v>车场综合信息呈现</x:v>
      </x:c>
      <x:c r="E32" s="199" t="str">
        <x:v>1/3</x:v>
      </x:c>
      <x:c r="F32" s="210" t="str">
        <x:v>1. 聚合系统内关键信息资源，主要包括资源标注、车位标注、车位状态更新、资源定位和报警源定位
2. 具备资源图层、车位图层等不同图层显示/隐藏、筛选显示，点击图上要素显示概况窗口，并需跟随要素位置显示
3. 显示车场的基本信息、车场重要部位视频
4. 显示所有车辆在场情况(包括油耗、行驶路程和车辆故障等)和车辆出入本车场的记录情况；显示车辆在位状态、车库占用、回场时间、行驶里程、油料损耗等信息数据反馈至车场调度室终端</x:v>
      </x:c>
    </x:row>
    <x:row r="33" ht="122" customHeight="1">
      <x:c r="A33" s="187" t="n">
        <x:v>23</x:v>
      </x:c>
      <x:c r="B33" s="190" t="str">
        <x:v>27</x:v>
      </x:c>
      <x:c r="C33" s="190" t="str">
        <x:v>场区与态势</x:v>
      </x:c>
      <x:c r="D33" s="190" t="str">
        <x:v>车场综合信息呈现</x:v>
      </x:c>
      <x:c r="E33" s="190" t="str">
        <x:v>2/3</x:v>
      </x:c>
      <x:c r="F33" s="208" t="str">
        <x:v>5. 显示驾驶员的姓名，对出车和空闲的驾驶员(单独执勤情况)进行实时展示，并对驾驶员异常情况进行标注(休假、外出等)。驾驶员奖惩通报，展示车场内对驾驶员的奖惩情况，嘉奖信息包括驾驶员姓名，立功等级、做出的贡献、时间等信息。交通违纪通报包括驾驶员姓名，违纪内容以及违纪处罚
6. 具备车位可视化展示，形象直观的对停车场各车位的使用状态进行实时监控
7. 具备总体流量统计功能，对车辆和人员的各类信息进行统计，展示汽车分队的安全行车总距离等数据，按日、周、月、年等图形化展示车辆和人员的使用次数等数据，对驾驶员违章进行统计:按日、周、月、年等图形化展示违章数据
8. 具备图表展示功能展示车辆紧急疏散图、行驶区域图及车辆检查常用数据表、红旗车驾驶员评定成绩公布栏、车场值班员职责等图表</x:v>
      </x:c>
    </x:row>
    <x:row r="34" ht="38" customHeight="1">
      <x:c r="A34" s="198" t="n">
        <x:v>23</x:v>
      </x:c>
      <x:c r="B34" s="199" t="str">
        <x:v>27</x:v>
      </x:c>
      <x:c r="C34" s="199" t="str">
        <x:v>场区与态势</x:v>
      </x:c>
      <x:c r="D34" s="199" t="str">
        <x:v>车场综合信息呈现</x:v>
      </x:c>
      <x:c r="E34" s="199" t="str">
        <x:v>3/3</x:v>
      </x:c>
      <x:c r="F34" s="210" t="str">
        <x:v>9. 具备消息中心功能，对车辆出入事件、保养提醒事件、蓄电池到期充电提醒事件、保险到期提醒事件、驾驶员黑名单判定事件、车辆黑名单判定事件等集中在消息中心提醒，并将数据自动生成WORD版本态势分析报告</x:v>
      </x:c>
    </x:row>
    <x:row r="35" ht="112" customHeight="1">
      <x:c r="A35" s="187" t="n">
        <x:v>24</x:v>
      </x:c>
      <x:c r="B35" s="190" t="str">
        <x:v>28</x:v>
      </x:c>
      <x:c r="C35" s="190" t="str">
        <x:v>数据与集成</x:v>
      </x:c>
      <x:c r="D35" s="190" t="str">
        <x:v>集成数据资源管理</x:v>
      </x:c>
      <x:c r="E35" s="190" t="str">
        <x:v>1/11</x:v>
      </x:c>
      <x:c r="F35" s="208" t="str">
        <x:v>1. 为了满足机关及分队使用人员，涵盖车辆管理、人员管理、方案预案、安全教育、训练考核、器材管理、综合安防、态势管理等模块，为维护管理单位目录、车辆目录、单装基础信息、库房信息、人员信息数据字典、技术资料、单车电子履历等各项基础数据的业务需求提供数据同步基准与缓存功能，为离线作业提供基础数据支撑，实现数据与业务系统的基础数据、标准数据、数据字典等数据交互及共享，具备以下功能：一、组织管理
2. 实现单位组织架构新增、删除、查看等编辑和管理功能
3. 信息的查看、导入导出功能
4. 附件的上传、下载功能</x:v>
      </x:c>
    </x:row>
    <x:row r="36" ht="82" customHeight="1">
      <x:c r="A36" s="198" t="n">
        <x:v>24</x:v>
      </x:c>
      <x:c r="B36" s="199" t="str">
        <x:v>28</x:v>
      </x:c>
      <x:c r="C36" s="199" t="str">
        <x:v>数据与集成</x:v>
      </x:c>
      <x:c r="D36" s="199" t="str">
        <x:v>集成数据资源管理</x:v>
      </x:c>
      <x:c r="E36" s="199" t="str">
        <x:v>2/11</x:v>
      </x:c>
      <x:c r="F36" s="210" t="str">
        <x:v>5. 角色及权限管理
6. 实现登录管理，包括账号设置、账号查看、角色设置、权限设置等管理功能
7. 信息的查看、导入导出功能
8. 附件的上传、下载功能</x:v>
      </x:c>
    </x:row>
    <x:row r="37" ht="102" customHeight="1">
      <x:c r="A37" s="187" t="n">
        <x:v>24</x:v>
      </x:c>
      <x:c r="B37" s="190" t="str">
        <x:v>28</x:v>
      </x:c>
      <x:c r="C37" s="190" t="str">
        <x:v>数据与集成</x:v>
      </x:c>
      <x:c r="D37" s="190" t="str">
        <x:v>集成数据资源管理</x:v>
      </x:c>
      <x:c r="E37" s="190" t="str">
        <x:v>3/11</x:v>
      </x:c>
      <x:c r="F37" s="208" t="str">
        <x:v>9. 车辆管理
10. 具备车辆基础数据、调整补充、退役报废、技术状况、保养落实等管理模块分别不少于70个字段项的编辑和管理功能
11. 具备车辆动用计划（年度、月、驻训计划，勤务、训练、临时、维修用车计划）和维修保养计划（年、月、周、换季）格式编辑等功能
12. 具备单车电子履历14张制式表单字段项编辑管理、导入导出功能</x:v>
      </x:c>
    </x:row>
    <x:row r="38" ht="92" customHeight="1">
      <x:c r="A38" s="198" t="n">
        <x:v>24</x:v>
      </x:c>
      <x:c r="B38" s="199" t="str">
        <x:v>28</x:v>
      </x:c>
      <x:c r="C38" s="199" t="str">
        <x:v>数据与集成</x:v>
      </x:c>
      <x:c r="D38" s="199" t="str">
        <x:v>集成数据资源管理</x:v>
      </x:c>
      <x:c r="E38" s="199" t="str">
        <x:v>4/11</x:v>
      </x:c>
      <x:c r="F38" s="210" t="str">
        <x:v>13. 具备“九表二薄”编辑管理、自动生成、导入导出等功能
14. 信息新增、修改和删除的编辑功能
15. 通过和驳回的审核功能
16. 信息的查看、导入导出功能</x:v>
      </x:c>
    </x:row>
    <x:row r="39" ht="92" customHeight="1">
      <x:c r="A39" s="187" t="n">
        <x:v>24</x:v>
      </x:c>
      <x:c r="B39" s="190" t="str">
        <x:v>28</x:v>
      </x:c>
      <x:c r="C39" s="190" t="str">
        <x:v>数据与集成</x:v>
      </x:c>
      <x:c r="D39" s="190" t="str">
        <x:v>集成数据资源管理</x:v>
      </x:c>
      <x:c r="E39" s="190" t="str">
        <x:v>5/11</x:v>
      </x:c>
      <x:c r="F39" s="208" t="str">
        <x:v>17. 待审核、通过申请或驳回申请的显示功能
18. 附件的上传、下载功能
19. 随车配套工具和单装配载器材有无损坏缺失，自动汇总缺少工具和器材
20. 可选择性提交器材工具需求，系统支持按车型自动生成保养物资需求清单，分队支持按单装调整申请数量</x:v>
      </x:c>
    </x:row>
    <x:row r="40" ht="92" customHeight="1">
      <x:c r="A40" s="198" t="n">
        <x:v>24</x:v>
      </x:c>
      <x:c r="B40" s="199" t="str">
        <x:v>28</x:v>
      </x:c>
      <x:c r="C40" s="199" t="str">
        <x:v>数据与集成</x:v>
      </x:c>
      <x:c r="D40" s="199" t="str">
        <x:v>集成数据资源管理</x:v>
      </x:c>
      <x:c r="E40" s="199" t="str">
        <x:v>6/11</x:v>
      </x:c>
      <x:c r="F40" s="210" t="str">
        <x:v>21. 支持按单装和物资批量调整
22. 为态势展示分系统装备配套率展示提供数据支撑
23. 系统所生成的图表等内容格式需要与上级单位统一的格式相一致
24. 人员管理</x:v>
      </x:c>
    </x:row>
    <x:row r="41" ht="92" customHeight="1">
      <x:c r="A41" s="187" t="n">
        <x:v>24</x:v>
      </x:c>
      <x:c r="B41" s="190" t="str">
        <x:v>28</x:v>
      </x:c>
      <x:c r="C41" s="190" t="str">
        <x:v>数据与集成</x:v>
      </x:c>
      <x:c r="D41" s="190" t="str">
        <x:v>集成数据资源管理</x:v>
      </x:c>
      <x:c r="E41" s="190" t="str">
        <x:v>7/11</x:v>
      </x:c>
      <x:c r="F41" s="208" t="str">
        <x:v>25. 实现人员姓名、单位、职务岗位等不少于30个字段项的编辑和管理功能
26. 人员信息的查看、导入导出功能
27. 可与现有营区门禁数据库对接，无需重复录入，根据硬件设备功能及软件需求登记人脸、指纹等生物特征
28. 附件的上传、下载功能</x:v>
      </x:c>
    </x:row>
    <x:row r="42" ht="82" customHeight="1">
      <x:c r="A42" s="198" t="n">
        <x:v>24</x:v>
      </x:c>
      <x:c r="B42" s="199" t="str">
        <x:v>28</x:v>
      </x:c>
      <x:c r="C42" s="199" t="str">
        <x:v>数据与集成</x:v>
      </x:c>
      <x:c r="D42" s="199" t="str">
        <x:v>集成数据资源管理</x:v>
      </x:c>
      <x:c r="E42" s="199" t="str">
        <x:v>8/11</x:v>
      </x:c>
      <x:c r="F42" s="210" t="str">
        <x:v>29. 场区管理
30. 具备车库目录、车位名称、车辆装备信息等的编辑和管理功能
31. 信息的查看、导入导出功能及附件的上传、下载功能
32. 资料管理</x:v>
      </x:c>
    </x:row>
    <x:row r="43" ht="102" customHeight="1">
      <x:c r="A43" s="187" t="n">
        <x:v>24</x:v>
      </x:c>
      <x:c r="B43" s="190" t="str">
        <x:v>28</x:v>
      </x:c>
      <x:c r="C43" s="190" t="str">
        <x:v>数据与集成</x:v>
      </x:c>
      <x:c r="D43" s="190" t="str">
        <x:v>集成数据资源管理</x:v>
      </x:c>
      <x:c r="E43" s="190" t="str">
        <x:v>9/11</x:v>
      </x:c>
      <x:c r="F43" s="208" t="str">
        <x:v>33. 实现规定格式和标准（包括但不限于各类格式文档和影音文件、包括制式表单标准）文件资料的上传、删除等编辑和管理功能
34. 根据机关业务职能开发数据资源管理软件，由业务股室统一管控。主要满足业务股室维修管理装备和人员基础信息、装备场区环境信息、装备库房信息、技术资料、各类规范标准、数据字典等基础数据业务需求
35. 场区管控实现车库、车位、广播、钥匙柜等的设置管理
36. 实现与业务系统的技术资料、基础数据、标准数据、数据字典等数据交互共享</x:v>
      </x:c>
    </x:row>
    <x:row r="44" ht="112" customHeight="1">
      <x:c r="A44" s="198" t="n">
        <x:v>24</x:v>
      </x:c>
      <x:c r="B44" s="199" t="str">
        <x:v>28</x:v>
      </x:c>
      <x:c r="C44" s="199" t="str">
        <x:v>数据与集成</x:v>
      </x:c>
      <x:c r="D44" s="199" t="str">
        <x:v>集成数据资源管理</x:v>
      </x:c>
      <x:c r="E44" s="199" t="str">
        <x:v>10/11</x:v>
      </x:c>
      <x:c r="F44" s="210" t="str">
        <x:v>37. 与单车基础信息进行关联，自动为每台装备建立单装电子履历，具备以下功能：1、具备单车电子履历管理和查询功能
38. 具备表单信息修改、删除等编辑查看功能和导入导出功能，主要包含部件信息、操作手更换记录、封存/启封记录、战伤及重大事故记录、主要部件更换记录备注等
39. 具备车辆动用使用自动填充汇总功能。主要包含：使用记录、使用统计和技术状况检查记录；维修保养自动填充技术状况检查记录、修理记录、保养记录；抽取维修信息自动填充交接记录、修理记录）
40. 系统所生成的车辆电子履历书内容格式需要与统一的格式相一致</x:v>
      </x:c>
    </x:row>
    <x:row r="45" ht="38" customHeight="1">
      <x:c r="A45" s="187" t="n">
        <x:v>24</x:v>
      </x:c>
      <x:c r="B45" s="190" t="str">
        <x:v>28</x:v>
      </x:c>
      <x:c r="C45" s="190" t="str">
        <x:v>数据与集成</x:v>
      </x:c>
      <x:c r="D45" s="190" t="str">
        <x:v>集成数据资源管理</x:v>
      </x:c>
      <x:c r="E45" s="190" t="str">
        <x:v>11/11</x:v>
      </x:c>
      <x:c r="F45" s="208" t="str">
        <x:v>41. 在线离线交互（预留后期接口）</x:v>
      </x:c>
    </x:row>
    <x:row r="46" ht="56" customHeight="1">
      <x:c r="A46" s="198" t="n">
        <x:v>25</x:v>
      </x:c>
      <x:c r="B46" s="199" t="str">
        <x:v>29-30</x:v>
      </x:c>
      <x:c r="C46" s="199" t="str">
        <x:v>数据与集成</x:v>
      </x:c>
      <x:c r="D46" s="199" t="str">
        <x:v>总部-下属数据互通</x:v>
      </x:c>
      <x:c r="E46" s="199" t="str">
        <x:v>1/1</x:v>
      </x:c>
      <x:c r="F46" s="210" t="str">
        <x:v>1. 具备总部单位与下属34个单位数据互通，通过总部态势展示模块可查看下属34个单位车场动态情况
2. 具备总部与下属单位网络不通时下属单位可以离线运行，在网络联通后自动将数据上传至总部单位</x:v>
      </x:c>
    </x:row>
    <x:row r="47" ht="112" customHeight="1">
      <x:c r="A47" s="187" t="n">
        <x:v>26</x:v>
      </x:c>
      <x:c r="B47" s="190" t="str">
        <x:v>1-91</x:v>
      </x:c>
      <x:c r="C47" s="190" t="str">
        <x:v>移动端</x:v>
      </x:c>
      <x:c r="D47" s="190" t="str">
        <x:v>综合信息填报终端APP软件</x:v>
      </x:c>
      <x:c r="E47" s="190" t="str">
        <x:v>1/2</x:v>
      </x:c>
      <x:c r="F47" s="208" t="str">
        <x:v>1. 具备装备在位查询、电子履历管理（动用信息、保养信息、故障信息、交接信息、维修记录等）、出场检查、回场保养、维护保养信息录入、消耗物资的填写、随装配套和单装配载的核准、连车场日落实情况填写、分队支持按单装申请物资（按单装和物资批量调整）
2. 具备技术状态数据采集（自动采集、手动录入）功能，自动采集数据包括行驶里程、故障信息、油料信息，采集数据自动更新电子履历信息
3. 具备装备回场保养、出场检查信息登记功能
4. 具备连车场日落实情况填写（包括保养时间、参加人数、保养装备数量、发现故障、排除故障、车场日消耗及检查督导情况），团、营自动汇总功能</x:v>
      </x:c>
    </x:row>
    <x:row r="48" ht="38" customHeight="1">
      <x:c r="A48" s="198" t="n">
        <x:v>26</x:v>
      </x:c>
      <x:c r="B48" s="199" t="str">
        <x:v>1-91</x:v>
      </x:c>
      <x:c r="C48" s="199" t="str">
        <x:v>移动端</x:v>
      </x:c>
      <x:c r="D48" s="199" t="str">
        <x:v>综合信息填报终端APP软件</x:v>
      </x:c>
      <x:c r="E48" s="199" t="str">
        <x:v>2/2</x:v>
      </x:c>
      <x:c r="F48" s="210" t="str">
        <x:v>5. 支持麒麟、统信等国产化操作系统</x:v>
      </x:c>
    </x:row>
    <x:row r="49" ht="102" customHeight="1">
      <x:c r="A49" s="187" t="n">
        <x:v>27</x:v>
      </x:c>
      <x:c r="B49" s="190" t="str">
        <x:v>1-92</x:v>
      </x:c>
      <x:c r="C49" s="190" t="str">
        <x:v>移动端</x:v>
      </x:c>
      <x:c r="D49" s="190" t="str">
        <x:v>移动信息终端APP软件</x:v>
      </x:c>
      <x:c r="E49" s="190" t="str">
        <x:v>1/2</x:v>
      </x:c>
      <x:c r="F49" s="208" t="str">
        <x:v>1. 支持出入场检查、回场保养、电子履历管理、车辆配套和车辆配载的核准，支持技术状态数据采集（自动采集、手动录入），自动采集数据包括行驶里程、故障信息、油料信息，手动录入数据包括车辆行驶相关信息、等级修理信息，采集数据自动更新电子履历信息
2. 支持车辆回场保养、出场检查信息登记
3. 支持落实情况填写
4. 支持移动客户端授权</x:v>
      </x:c>
    </x:row>
    <x:row r="50" ht="38" customHeight="1">
      <x:c r="A50" s="211" t="n">
        <x:v>27</x:v>
      </x:c>
      <x:c r="B50" s="212" t="str">
        <x:v>1-92</x:v>
      </x:c>
      <x:c r="C50" s="212" t="str">
        <x:v>移动端</x:v>
      </x:c>
      <x:c r="D50" s="212" t="str">
        <x:v>移动信息终端APP软件</x:v>
      </x:c>
      <x:c r="E50" s="212" t="str">
        <x:v>2/2</x:v>
      </x:c>
      <x:c r="F50" s="213" t="str">
        <x:v>5. 支持麒麟、统信等国产化操作系统</x:v>
      </x:c>
    </x:row>
  </x:sheetData>
  <x:mergeCells>
    <x:mergeCell ref="A1:F1"/>
    <x:mergeCell ref="A2:F2"/>
  </x:mergeCells>
  <x:pageMargins left="0.7" right="0.7" top="0.75" bottom="0.75" header="0.3" footer="0.3"/>
  <x:tableParts count="1">
    <x:tablePart xmlns:r="http://schemas.openxmlformats.org/officeDocument/2006/relationships" r:id="R8a48ba7a10a2462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5" hidden="0" customWidth="1"/>
    <x:col min="2" max="2" width="16" hidden="0" customWidth="1"/>
    <x:col min="3" max="3" width="3" hidden="0" customWidth="1"/>
    <x:col min="4" max="4" width="28" hidden="0" customWidth="1"/>
    <x:col min="5" max="5" width="16" hidden="0" customWidth="1"/>
    <x:col min="6" max="6" width="12" hidden="0" customWidth="1"/>
  </x:cols>
  <x:sheetData>
    <x:row r="1" ht="34" customHeight="1">
      <x:c r="A1" s="171" t="str">
        <x:v>报价参数与计算校验</x:v>
      </x:c>
      <x:c r="B1" s="172" t="str">
        <x:v>报价参数与计算校验</x:v>
      </x:c>
      <x:c r="C1" s="172" t="str">
        <x:v>报价参数与计算校验</x:v>
      </x:c>
      <x:c r="D1" s="172" t="str">
        <x:v>报价参数与计算校验</x:v>
      </x:c>
      <x:c r="E1" s="172" t="str">
        <x:v>报价参数与计算校验</x:v>
      </x:c>
      <x:c r="F1" s="173" t="str">
        <x:v>报价参数与计算校验</x:v>
      </x:c>
    </x:row>
    <x:row r="2" ht="26" customHeight="1">
      <x:c r="A2" s="174" t="str">
        <x:v>蓝色数字为可编辑输入；金额公式自动更新。当前口径：开发＋测试 1,200 元/人天，固定服务费参与计税。 </x:v>
      </x:c>
      <x:c r="B2" s="9" t="str">
        <x:v>蓝色数字为可编辑输入；金额公式自动更新。当前口径：开发＋测试 1,200 元/人天，固定服务费参与计税。 </x:v>
      </x:c>
      <x:c r="C2" s="9" t="str">
        <x:v>蓝色数字为可编辑输入；金额公式自动更新。当前口径：开发＋测试 1,200 元/人天，固定服务费参与计税。 </x:v>
      </x:c>
      <x:c r="D2" s="9" t="str">
        <x:v>蓝色数字为可编辑输入；金额公式自动更新。当前口径：开发＋测试 1,200 元/人天，固定服务费参与计税。 </x:v>
      </x:c>
      <x:c r="E2" s="9" t="str">
        <x:v>蓝色数字为可编辑输入；金额公式自动更新。当前口径：开发＋测试 1,200 元/人天，固定服务费参与计税。 </x:v>
      </x:c>
      <x:c r="F2" s="175" t="str">
        <x:v>蓝色数字为可编辑输入；金额公式自动更新。当前口径：开发＋测试 1,200 元/人天，固定服务费参与计税。 </x:v>
      </x:c>
    </x:row>
    <x:row r="3">
      <x:c r="A3" s="176"/>
      <x:c r="B3" s="177"/>
      <x:c r="C3" s="177"/>
      <x:c r="D3" s="177"/>
      <x:c r="E3" s="177"/>
      <x:c r="F3" s="178"/>
    </x:row>
    <x:row r="4" ht="30" customHeight="1">
      <x:c r="A4" s="64" t="str">
        <x:v>参数</x:v>
      </x:c>
      <x:c r="B4" s="64" t="str">
        <x:v>数值</x:v>
      </x:c>
      <x:c r="C4" s="177"/>
      <x:c r="D4" s="64" t="str">
        <x:v>校验项</x:v>
      </x:c>
      <x:c r="E4" s="64" t="str">
        <x:v>结果</x:v>
      </x:c>
      <x:c r="F4" s="64" t="str">
        <x:v>状态</x:v>
      </x:c>
    </x:row>
    <x:row r="5">
      <x:c r="A5" s="232" t="str">
        <x:v>开发＋测试人天单价（元/人天）</x:v>
      </x:c>
      <x:c r="B5" s="217" t="n">
        <x:v>1200</x:v>
      </x:c>
      <x:c r="C5" s="177"/>
      <x:c r="D5" s="68" t="str">
        <x:v>模块数量应为27</x:v>
      </x:c>
      <x:c r="E5" s="69" t="n">
        <x:f>COUNTA('模块报价'!$A$6:$A$32)</x:f>
        <x:v>27</x:v>
      </x:c>
      <x:c r="F5" s="233" t="str">
        <x:f>IF(E5=27,"PASS","FAIL")</x:f>
        <x:v>PASS</x:v>
      </x:c>
    </x:row>
    <x:row r="6">
      <x:c r="A6" s="234" t="str">
        <x:v>需求调研成本（元）</x:v>
      </x:c>
      <x:c r="B6" s="218" t="n">
        <x:v>50000</x:v>
      </x:c>
      <x:c r="C6" s="177"/>
      <x:c r="D6" s="71" t="str">
        <x:v>估算工作量合计</x:v>
      </x:c>
      <x:c r="E6" s="226" t="n">
        <x:f>SUM('模块报价'!$F$6:$F$32)</x:f>
        <x:v>1501.5</x:v>
      </x:c>
      <x:c r="F6" s="235" t="str">
        <x:f>IF(E6=1501.5,"PASS","FAIL")</x:f>
        <x:v>PASS</x:v>
      </x:c>
    </x:row>
    <x:row r="7">
      <x:c r="A7" s="234" t="str">
        <x:v>交付实施差旅人工（元）</x:v>
      </x:c>
      <x:c r="B7" s="218" t="n">
        <x:v>100000</x:v>
      </x:c>
      <x:c r="C7" s="177"/>
      <x:c r="D7" s="71" t="str">
        <x:v>模块金额＝工作量×单价</x:v>
      </x:c>
      <x:c r="E7" s="227" t="n">
        <x:f>SUM('模块报价'!$H$6:$H$32)-E6*$B$5</x:f>
        <x:v>0</x:v>
      </x:c>
      <x:c r="F7" s="235" t="str">
        <x:f>IF(ABS(E7)&lt;0.01,"PASS","FAIL")</x:f>
        <x:v>PASS</x:v>
      </x:c>
    </x:row>
    <x:row r="8">
      <x:c r="A8" s="234" t="str">
        <x:v>配合第三方软件测试（元）</x:v>
      </x:c>
      <x:c r="B8" s="218" t="n">
        <x:v>30000</x:v>
      </x:c>
      <x:c r="C8" s="177"/>
      <x:c r="D8" s="71" t="str">
        <x:v>未税金额＝模块费＋固定服务费</x:v>
      </x:c>
      <x:c r="E8" s="227" t="n">
        <x:f>'报价总览'!$B$22-SUM('模块报价'!$H$6:$H$32)-SUM($B$6:$B$9)</x:f>
        <x:v>0</x:v>
      </x:c>
      <x:c r="F8" s="235" t="str">
        <x:f>IF(ABS(E8)&lt;0.01,"PASS","FAIL")</x:f>
        <x:v>PASS</x:v>
      </x:c>
    </x:row>
    <x:row r="9">
      <x:c r="A9" s="234" t="str">
        <x:v>配合软件著作权办理（元）</x:v>
      </x:c>
      <x:c r="B9" s="218" t="n">
        <x:v>20000</x:v>
      </x:c>
      <x:c r="C9" s="177"/>
      <x:c r="D9" s="71" t="str">
        <x:v>价税合计＝未税金额＋税额</x:v>
      </x:c>
      <x:c r="E9" s="227" t="n">
        <x:f>'报价总览'!$B$24-'报价总览'!$B$22-'报价总览'!$B$23</x:f>
        <x:v>0</x:v>
      </x:c>
      <x:c r="F9" s="235" t="str">
        <x:f>IF(ABS(E9)&lt;0.01,"PASS","FAIL")</x:f>
        <x:v>PASS</x:v>
      </x:c>
    </x:row>
    <x:row r="10">
      <x:c r="A10" s="236" t="str">
        <x:v>增值税率</x:v>
      </x:c>
      <x:c r="B10" s="219" t="n">
        <x:v>0.06</x:v>
      </x:c>
      <x:c r="C10" s="177"/>
      <x:c r="D10" s="74" t="str">
        <x:v>非功能资质类表述已清理</x:v>
      </x:c>
      <x:c r="E10" s="228" t="n">
        <x:v>0</x:v>
      </x:c>
      <x:c r="F10" s="237" t="str">
        <x:f>IF(E10=0,"PASS","FAIL")</x:f>
        <x:v>PASS</x:v>
      </x:c>
    </x:row>
    <x:row r="11">
      <x:c r="A11" s="176"/>
      <x:c r="B11" s="177"/>
      <x:c r="C11" s="177"/>
      <x:c r="D11" s="177"/>
      <x:c r="E11" s="177"/>
      <x:c r="F11" s="178"/>
    </x:row>
    <x:row r="12">
      <x:c r="A12" s="176"/>
      <x:c r="B12" s="177"/>
      <x:c r="C12" s="177"/>
      <x:c r="D12" s="177"/>
      <x:c r="E12" s="177"/>
      <x:c r="F12" s="178"/>
    </x:row>
    <x:row r="13">
      <x:c r="A13" s="238" t="str">
        <x:v>估算边界与使用说明</x:v>
      </x:c>
      <x:c r="B13" s="229" t="str">
        <x:v>估算边界与使用说明</x:v>
      </x:c>
      <x:c r="C13" s="229" t="str">
        <x:v>估算边界与使用说明</x:v>
      </x:c>
      <x:c r="D13" s="229" t="str">
        <x:v>估算边界与使用说明</x:v>
      </x:c>
      <x:c r="E13" s="229" t="str">
        <x:v>估算边界与使用说明</x:v>
      </x:c>
      <x:c r="F13" s="239" t="str">
        <x:v>估算边界与使用说明</x:v>
      </x:c>
    </x:row>
    <x:row r="14" ht="30" customHeight="1">
      <x:c r="A14" s="240" t="str">
        <x:v>1. 人天为开发＋测试口径，含模块编码、单元测试、集成测试及常规联调；需求调研和现场交付另行列示。</x:v>
      </x:c>
      <x:c r="B14" s="231"/>
      <x:c r="C14" s="231"/>
      <x:c r="D14" s="231"/>
      <x:c r="E14" s="231"/>
      <x:c r="F14" s="241"/>
    </x:row>
    <x:row r="15" ht="30" customHeight="1">
      <x:c r="A15" s="240" t="str">
        <x:v>2. 估算依据为当前需求文字。接口协议、制式表单数量、数据迁移量、国产化环境、离线同步策略和硬件设备协议确认后，应复核人天。</x:v>
      </x:c>
      <x:c r="B15" s="231"/>
      <x:c r="C15" s="231"/>
      <x:c r="D15" s="231"/>
      <x:c r="E15" s="231"/>
      <x:c r="F15" s="241"/>
    </x:row>
    <x:row r="16" ht="30" customHeight="1">
      <x:c r="A16" s="240" t="str">
        <x:v>3. 不含服务器、门禁、道闸、大屏、摄像头、RFID、打印设备等硬件采购和安装费用。</x:v>
      </x:c>
      <x:c r="B16" s="231"/>
      <x:c r="C16" s="231"/>
      <x:c r="D16" s="231"/>
      <x:c r="E16" s="231"/>
      <x:c r="F16" s="241"/>
    </x:row>
    <x:row r="17" ht="30" customHeight="1">
      <x:c r="A17" s="240" t="str">
        <x:v>4. 不含云资源/专线、短信、地图、商业中间件、OFD转换组件等第三方授权或持续服务费用。</x:v>
      </x:c>
      <x:c r="B17" s="231"/>
      <x:c r="C17" s="231"/>
      <x:c r="D17" s="231"/>
      <x:c r="E17" s="231"/>
      <x:c r="F17" s="241"/>
    </x:row>
    <x:row r="18" ht="30" customHeight="1">
      <x:c r="A18" s="240" t="str">
        <x:v>5. 配合第三方测试按3万元计，配合软件著作权办理按2万元计；若测试机构或知识产权代理机构直接收费，以实际合同为准。</x:v>
      </x:c>
      <x:c r="B18" s="231"/>
      <x:c r="C18" s="231"/>
      <x:c r="D18" s="231"/>
      <x:c r="E18" s="231"/>
      <x:c r="F18" s="241"/>
    </x:row>
    <x:row r="19" ht="30" customHeight="1">
      <x:c r="A19" s="242" t="str">
        <x:v>6. 增值税按未税项目总额的6%计算；如开票政策或税率发生变化，以实际开票为准。</x:v>
      </x:c>
      <x:c r="B19" s="243"/>
      <x:c r="C19" s="243"/>
      <x:c r="D19" s="243"/>
      <x:c r="E19" s="243"/>
      <x:c r="F19" s="244"/>
    </x:row>
  </x:sheetData>
  <x:mergeCells>
    <x:mergeCell ref="A1:F1"/>
    <x:mergeCell ref="A2:F2"/>
    <x:mergeCell ref="A13:F13"/>
    <x:mergeCell ref="A14:F14"/>
    <x:mergeCell ref="A15:F15"/>
    <x:mergeCell ref="A16:F16"/>
    <x:mergeCell ref="A17:F17"/>
    <x:mergeCell ref="A18:F18"/>
    <x:mergeCell ref="A19:F19"/>
  </x:mergeCells>
  <x:pageMargins left="0.7" right="0.7" top="0.75" bottom="0.75" header="0.3" footer="0.3"/>
</x:worksheet>
</file>